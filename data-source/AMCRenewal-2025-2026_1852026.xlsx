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X\AMC\"/>
    </mc:Choice>
  </mc:AlternateContent>
  <xr:revisionPtr revIDLastSave="0" documentId="8_{165450ED-1C15-4B9A-BD4E-90D4F53AB905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AMC 2026-2027" sheetId="22" r:id="rId1"/>
    <sheet name="AMC 2025-2026 (2)" sheetId="26" r:id="rId2"/>
    <sheet name="AMC 2024-2025 " sheetId="1" r:id="rId3"/>
    <sheet name="GADSEC" sheetId="27" r:id="rId4"/>
    <sheet name="Ashok Leyland" sheetId="3" r:id="rId5"/>
    <sheet name="DD Vaishanv College" sheetId="5" r:id="rId6"/>
    <sheet name="Dailmer" sheetId="2" r:id="rId7"/>
    <sheet name="Royal Enfield" sheetId="4" r:id="rId8"/>
    <sheet name="KONE Elevator India P.Ltd" sheetId="6" r:id="rId9"/>
    <sheet name="Enerji System Pvt Ltd" sheetId="8" r:id="rId10"/>
    <sheet name="Padmapriya Hospital" sheetId="9" r:id="rId11"/>
    <sheet name="Vlead Design" sheetId="10" r:id="rId12"/>
    <sheet name="Dailmer(CAMC)" sheetId="11" r:id="rId13"/>
    <sheet name="TAGROS ACMC" sheetId="12" r:id="rId14"/>
    <sheet name="JOVE" sheetId="13" r:id="rId15"/>
    <sheet name="Jawahar" sheetId="14" r:id="rId16"/>
    <sheet name="GH INDUCTION" sheetId="15" r:id="rId17"/>
    <sheet name="Global Healthcare" sheetId="16" r:id="rId18"/>
    <sheet name="Hanon" sheetId="17" r:id="rId19"/>
    <sheet name="Vikram Solar" sheetId="18" r:id="rId20"/>
    <sheet name="GLOBAL 1007 &amp; 0911" sheetId="23" r:id="rId21"/>
    <sheet name="Tagros Dahej" sheetId="19" r:id="rId22"/>
    <sheet name="Tagros Panoli" sheetId="20" r:id="rId23"/>
    <sheet name="KEL_HEP 26" sheetId="28" r:id="rId24"/>
  </sheets>
  <definedNames>
    <definedName name="_xlnm._FilterDatabase" localSheetId="2" hidden="1">'AMC 2024-2025 '!$A$2:$AP$147</definedName>
    <definedName name="_xlnm._FilterDatabase" localSheetId="1" hidden="1">'AMC 2025-2026 (2)'!$A$2:$AU$112</definedName>
    <definedName name="_xlnm._FilterDatabase" localSheetId="0" hidden="1">'AMC 2026-2027'!$A$2:$AT$108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22" l="1"/>
  <c r="D44" i="22"/>
  <c r="O7" i="28"/>
  <c r="N7" i="28"/>
  <c r="M7" i="28"/>
  <c r="L7" i="28"/>
  <c r="K7" i="28"/>
  <c r="J7" i="28"/>
  <c r="I7" i="28"/>
  <c r="N5" i="28"/>
  <c r="K5" i="28"/>
  <c r="N4" i="28"/>
  <c r="K4" i="28"/>
  <c r="M6" i="28"/>
  <c r="J6" i="28"/>
  <c r="L6" i="28"/>
  <c r="I6" i="28"/>
  <c r="H6" i="28"/>
  <c r="H5" i="28"/>
  <c r="H4" i="28"/>
  <c r="H7" i="28" s="1"/>
  <c r="D40" i="22"/>
  <c r="G4" i="27"/>
  <c r="G3" i="27"/>
  <c r="G2" i="27"/>
  <c r="D35" i="22"/>
  <c r="D23" i="22"/>
  <c r="AY139" i="26"/>
  <c r="AO139" i="26"/>
  <c r="AM139" i="26"/>
  <c r="AK139" i="26"/>
  <c r="AI139" i="26"/>
  <c r="AE139" i="26"/>
  <c r="AC139" i="26"/>
  <c r="AA139" i="26"/>
  <c r="Y139" i="26"/>
  <c r="U139" i="26"/>
  <c r="S139" i="26"/>
  <c r="Q139" i="26"/>
  <c r="O139" i="26"/>
  <c r="M139" i="26"/>
  <c r="K139" i="26"/>
  <c r="AY135" i="26"/>
  <c r="AV135" i="26"/>
  <c r="AT135" i="26"/>
  <c r="AR135" i="26"/>
  <c r="AP135" i="26"/>
  <c r="AO135" i="26"/>
  <c r="AN135" i="26"/>
  <c r="AL135" i="26"/>
  <c r="AK135" i="26"/>
  <c r="AJ135" i="26"/>
  <c r="AI135" i="26"/>
  <c r="AH135" i="26"/>
  <c r="AF135" i="26"/>
  <c r="AD135" i="26"/>
  <c r="AB135" i="26"/>
  <c r="Z135" i="26"/>
  <c r="X135" i="26"/>
  <c r="V135" i="26"/>
  <c r="R135" i="26"/>
  <c r="Q135" i="26"/>
  <c r="P135" i="26"/>
  <c r="N135" i="26"/>
  <c r="D135" i="26"/>
  <c r="BA130" i="26"/>
  <c r="AQ130" i="26"/>
  <c r="AQ139" i="26" s="1"/>
  <c r="AE129" i="26"/>
  <c r="Y129" i="26"/>
  <c r="BC129" i="26" s="1"/>
  <c r="BD126" i="26"/>
  <c r="BA126" i="26"/>
  <c r="BC125" i="26"/>
  <c r="BB125" i="26"/>
  <c r="BD122" i="26"/>
  <c r="BA121" i="26"/>
  <c r="Y121" i="26"/>
  <c r="BC121" i="26" s="1"/>
  <c r="AU118" i="26"/>
  <c r="AM118" i="26"/>
  <c r="BD118" i="26" s="1"/>
  <c r="BA117" i="26"/>
  <c r="AG117" i="26"/>
  <c r="AA117" i="26"/>
  <c r="Y117" i="26"/>
  <c r="U117" i="26"/>
  <c r="BC117" i="26" s="1"/>
  <c r="BD114" i="26"/>
  <c r="BA113" i="26"/>
  <c r="AA113" i="26"/>
  <c r="AC113" i="26" s="1"/>
  <c r="AE113" i="26" s="1"/>
  <c r="Y113" i="26"/>
  <c r="AU110" i="26"/>
  <c r="AU139" i="26" s="1"/>
  <c r="AM110" i="26"/>
  <c r="BC109" i="26"/>
  <c r="BB109" i="26"/>
  <c r="BA109" i="26"/>
  <c r="BD106" i="26"/>
  <c r="AS106" i="26"/>
  <c r="AM106" i="26"/>
  <c r="AM135" i="26" s="1"/>
  <c r="BC105" i="26"/>
  <c r="BB105" i="26"/>
  <c r="BA105" i="26"/>
  <c r="BD102" i="26"/>
  <c r="BC101" i="26"/>
  <c r="BB101" i="26"/>
  <c r="BA101" i="26"/>
  <c r="W101" i="26"/>
  <c r="AG98" i="26"/>
  <c r="AG139" i="26" s="1"/>
  <c r="W98" i="26"/>
  <c r="W135" i="26" s="1"/>
  <c r="BC97" i="26"/>
  <c r="BB97" i="26"/>
  <c r="BA97" i="26"/>
  <c r="BD94" i="26"/>
  <c r="BC93" i="26"/>
  <c r="BB93" i="26"/>
  <c r="BA93" i="26"/>
  <c r="BD90" i="26"/>
  <c r="BC89" i="26"/>
  <c r="BB89" i="26"/>
  <c r="BA89" i="26"/>
  <c r="Q89" i="26"/>
  <c r="BD86" i="26"/>
  <c r="BB85" i="26"/>
  <c r="BA85" i="26"/>
  <c r="Q85" i="26"/>
  <c r="BC85" i="26" s="1"/>
  <c r="BD82" i="26"/>
  <c r="AA81" i="26"/>
  <c r="AA135" i="26" s="1"/>
  <c r="Y81" i="26"/>
  <c r="Q81" i="26"/>
  <c r="BC81" i="26" s="1"/>
  <c r="D81" i="26"/>
  <c r="BA81" i="26" s="1"/>
  <c r="BD78" i="26"/>
  <c r="BC77" i="26"/>
  <c r="BB77" i="26"/>
  <c r="BA77" i="26"/>
  <c r="BD74" i="26"/>
  <c r="BA73" i="26"/>
  <c r="S73" i="26"/>
  <c r="S135" i="26" s="1"/>
  <c r="L72" i="26"/>
  <c r="BD70" i="26"/>
  <c r="BA69" i="26"/>
  <c r="O69" i="26"/>
  <c r="BC69" i="26" s="1"/>
  <c r="BD66" i="26"/>
  <c r="BC65" i="26"/>
  <c r="BB65" i="26"/>
  <c r="BA65" i="26"/>
  <c r="O65" i="26"/>
  <c r="BD62" i="26"/>
  <c r="BA61" i="26"/>
  <c r="Y61" i="26"/>
  <c r="BB61" i="26" s="1"/>
  <c r="O61" i="26"/>
  <c r="BC61" i="26" s="1"/>
  <c r="D61" i="26"/>
  <c r="BD58" i="26"/>
  <c r="BB57" i="26"/>
  <c r="BA57" i="26"/>
  <c r="Y57" i="26"/>
  <c r="BC57" i="26" s="1"/>
  <c r="BD54" i="26"/>
  <c r="BA53" i="26"/>
  <c r="S53" i="26"/>
  <c r="O53" i="26"/>
  <c r="M53" i="26"/>
  <c r="BC53" i="26" s="1"/>
  <c r="K53" i="26"/>
  <c r="BB53" i="26" s="1"/>
  <c r="BD49" i="26"/>
  <c r="BC48" i="26"/>
  <c r="BA48" i="26"/>
  <c r="AC48" i="26"/>
  <c r="S48" i="26"/>
  <c r="BB48" i="26" s="1"/>
  <c r="BD45" i="26"/>
  <c r="BB44" i="26"/>
  <c r="BA44" i="26"/>
  <c r="AC44" i="26"/>
  <c r="AC135" i="26" s="1"/>
  <c r="BD41" i="26"/>
  <c r="BB40" i="26"/>
  <c r="BA40" i="26"/>
  <c r="O40" i="26"/>
  <c r="BC40" i="26" s="1"/>
  <c r="BD36" i="26"/>
  <c r="BA35" i="26"/>
  <c r="K35" i="26"/>
  <c r="BD32" i="26"/>
  <c r="BC31" i="26"/>
  <c r="BB31" i="26"/>
  <c r="BA31" i="26"/>
  <c r="BD28" i="26"/>
  <c r="BA27" i="26"/>
  <c r="O27" i="26"/>
  <c r="BC27" i="26" s="1"/>
  <c r="BD24" i="26"/>
  <c r="BC23" i="26"/>
  <c r="BB23" i="26"/>
  <c r="BA23" i="26"/>
  <c r="M23" i="26"/>
  <c r="D23" i="26"/>
  <c r="BD20" i="26"/>
  <c r="BC19" i="26"/>
  <c r="BA19" i="26"/>
  <c r="M19" i="26"/>
  <c r="BB19" i="26" s="1"/>
  <c r="BD16" i="26"/>
  <c r="BA15" i="26"/>
  <c r="Y15" i="26"/>
  <c r="M15" i="26"/>
  <c r="BC15" i="26" s="1"/>
  <c r="BD12" i="26"/>
  <c r="BC11" i="26"/>
  <c r="BB11" i="26"/>
  <c r="BA11" i="26"/>
  <c r="M11" i="26"/>
  <c r="BD8" i="26"/>
  <c r="BC7" i="26"/>
  <c r="BA7" i="26"/>
  <c r="Y7" i="26"/>
  <c r="Y135" i="26" s="1"/>
  <c r="O7" i="26"/>
  <c r="O135" i="26" s="1"/>
  <c r="A7" i="26"/>
  <c r="BD4" i="26"/>
  <c r="BA3" i="26"/>
  <c r="M3" i="26"/>
  <c r="BB3" i="26" s="1"/>
  <c r="AE135" i="26" l="1"/>
  <c r="AG113" i="26"/>
  <c r="BA135" i="26"/>
  <c r="BC113" i="26"/>
  <c r="BB7" i="26"/>
  <c r="BC44" i="26"/>
  <c r="BD130" i="26"/>
  <c r="AQ135" i="26"/>
  <c r="BB73" i="26"/>
  <c r="W139" i="26"/>
  <c r="BC3" i="26"/>
  <c r="BC73" i="26"/>
  <c r="K135" i="26"/>
  <c r="BB15" i="26"/>
  <c r="BB27" i="26"/>
  <c r="U35" i="26"/>
  <c r="BB35" i="26" s="1"/>
  <c r="BB135" i="26" s="1"/>
  <c r="BB69" i="26"/>
  <c r="BD98" i="26"/>
  <c r="AS110" i="26"/>
  <c r="AS135" i="26" s="1"/>
  <c r="BB121" i="26"/>
  <c r="M135" i="26"/>
  <c r="BB113" i="26"/>
  <c r="BB117" i="26"/>
  <c r="BB129" i="26"/>
  <c r="AU135" i="26"/>
  <c r="BB81" i="26"/>
  <c r="AG135" i="26"/>
  <c r="AK131" i="22"/>
  <c r="AI131" i="22"/>
  <c r="AS139" i="26" l="1"/>
  <c r="BD110" i="26"/>
  <c r="BD135" i="26" s="1"/>
  <c r="BC35" i="26"/>
  <c r="BC135" i="26" s="1"/>
  <c r="U135" i="26"/>
  <c r="Y131" i="22"/>
  <c r="S131" i="22"/>
  <c r="O131" i="22"/>
  <c r="M131" i="22"/>
  <c r="K131" i="22"/>
  <c r="AA131" i="22"/>
  <c r="AC131" i="22"/>
  <c r="AE131" i="22"/>
  <c r="Q131" i="22" l="1"/>
  <c r="U131" i="22"/>
  <c r="AM131" i="22" l="1"/>
  <c r="AQ131" i="22"/>
  <c r="W131" i="22" l="1"/>
  <c r="AG131" i="22"/>
  <c r="AS131" i="22"/>
  <c r="AO131" i="22"/>
  <c r="A17" i="19"/>
  <c r="A16" i="19"/>
  <c r="A15" i="19"/>
  <c r="C14" i="19"/>
  <c r="A14" i="19"/>
  <c r="C13" i="19"/>
  <c r="A13" i="19"/>
  <c r="A12" i="19"/>
  <c r="A11" i="19"/>
  <c r="A10" i="19"/>
  <c r="A9" i="19"/>
  <c r="A8" i="19"/>
  <c r="A7" i="19"/>
  <c r="A6" i="19"/>
  <c r="A5" i="19"/>
  <c r="A4" i="19"/>
  <c r="E28" i="23"/>
  <c r="E18" i="23"/>
  <c r="E10" i="23"/>
  <c r="E8" i="23"/>
  <c r="A24" i="18"/>
  <c r="A23" i="18"/>
  <c r="A22" i="18"/>
  <c r="A21" i="18"/>
  <c r="A20" i="18"/>
  <c r="A19" i="18"/>
  <c r="C18" i="18"/>
  <c r="A18" i="18"/>
  <c r="C17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N136" i="1"/>
  <c r="C128" i="1"/>
  <c r="H117" i="1"/>
  <c r="P116" i="1"/>
  <c r="I115" i="1"/>
  <c r="I114" i="1"/>
  <c r="I113" i="1"/>
  <c r="R95" i="1"/>
  <c r="H95" i="1"/>
  <c r="H91" i="1"/>
  <c r="H87" i="1"/>
  <c r="F87" i="1"/>
  <c r="L83" i="1"/>
  <c r="F83" i="1"/>
  <c r="L79" i="1"/>
  <c r="F79" i="1"/>
  <c r="L75" i="1"/>
  <c r="F75" i="1"/>
  <c r="L71" i="1"/>
  <c r="F71" i="1"/>
  <c r="H64" i="1"/>
  <c r="L63" i="1"/>
  <c r="F63" i="1"/>
  <c r="F47" i="1"/>
  <c r="H44" i="1"/>
  <c r="F44" i="1"/>
  <c r="H36" i="1"/>
  <c r="L35" i="1"/>
  <c r="F35" i="1"/>
  <c r="L31" i="1"/>
  <c r="F31" i="1"/>
  <c r="L27" i="1"/>
  <c r="F27" i="1"/>
  <c r="C23" i="1"/>
  <c r="C19" i="1"/>
  <c r="D127" i="22"/>
  <c r="A7" i="22"/>
</calcChain>
</file>

<file path=xl/sharedStrings.xml><?xml version="1.0" encoding="utf-8"?>
<sst xmlns="http://schemas.openxmlformats.org/spreadsheetml/2006/main" count="1732" uniqueCount="780">
  <si>
    <t>SL No</t>
  </si>
  <si>
    <t>Party</t>
  </si>
  <si>
    <t>SUMMARY</t>
  </si>
  <si>
    <t>S.NO</t>
  </si>
  <si>
    <t>CLIENT</t>
  </si>
  <si>
    <t>PRODUCT</t>
  </si>
  <si>
    <t>TOTAL AMOUNT</t>
  </si>
  <si>
    <t>Period</t>
  </si>
  <si>
    <t xml:space="preserve">Duration </t>
  </si>
  <si>
    <t>PM Cycle</t>
  </si>
  <si>
    <t>PM Schedule</t>
  </si>
  <si>
    <t>PM Month</t>
  </si>
  <si>
    <t>Remarks</t>
  </si>
  <si>
    <t>Amount</t>
  </si>
  <si>
    <t>Remark</t>
  </si>
  <si>
    <t>TOTAL</t>
  </si>
  <si>
    <t>Billed</t>
  </si>
  <si>
    <t>Received amount</t>
  </si>
  <si>
    <t>pending Amount</t>
  </si>
  <si>
    <t>Dailmer -HR (CAMC)</t>
  </si>
  <si>
    <t>AMS</t>
  </si>
  <si>
    <t>12 Months</t>
  </si>
  <si>
    <t>Qtrly</t>
  </si>
  <si>
    <t>Qtr-1</t>
  </si>
  <si>
    <t>Apr-25</t>
  </si>
  <si>
    <t>Qtr-2</t>
  </si>
  <si>
    <t>Jun-25</t>
  </si>
  <si>
    <t>Qtr-3</t>
  </si>
  <si>
    <t>Sep-25</t>
  </si>
  <si>
    <t>Items Covered: Attendance &amp; Service</t>
  </si>
  <si>
    <t>Qtr-4</t>
  </si>
  <si>
    <t>Dec-25</t>
  </si>
  <si>
    <t>Payment Mode:Yearly in Advance</t>
  </si>
  <si>
    <t>AMS &amp; Access</t>
  </si>
  <si>
    <t>01-04-2025 to 31-3-2026</t>
  </si>
  <si>
    <t xml:space="preserve"> Ref:PLPL/CAMC/2025-2026/G/05 Dated: 08/05/2025</t>
  </si>
  <si>
    <t xml:space="preserve"> Invoice No. 26,27,28,29/25-26 13-05-2025 Billing done</t>
  </si>
  <si>
    <t xml:space="preserve"> Invoice No. 159,160,161,162/25-26  21-10-2025 Billing done</t>
  </si>
  <si>
    <t>Invoice No : 26,27,28,29/25-26</t>
  </si>
  <si>
    <t>Items Covered: CAMC</t>
  </si>
  <si>
    <t>Half yearly Advance (30 days from date of invoice) 50% Advance</t>
  </si>
  <si>
    <t>1-4-2025 to 31-3-2026</t>
  </si>
  <si>
    <t>May-25</t>
  </si>
  <si>
    <t>July-25</t>
  </si>
  <si>
    <t>Items Covered: Annual Maintance</t>
  </si>
  <si>
    <t>Ref : 4700106234 Date : 25-04-2025</t>
  </si>
  <si>
    <t>30-04-2025 Billingdone Invoice No. 19</t>
  </si>
  <si>
    <t>Invoice No : 19/25-26</t>
  </si>
  <si>
    <t xml:space="preserve"> yearly Advance (30 days from date of invoice)</t>
  </si>
  <si>
    <t>Access</t>
  </si>
  <si>
    <t>30-04-2025 Billing done Invoice No. 20</t>
  </si>
  <si>
    <t>1.10.2025 Billing Done Invoice No:133/25-26</t>
  </si>
  <si>
    <t>Invoice No : 20/25-26 Date : 30-04-2025</t>
  </si>
  <si>
    <t xml:space="preserve"> Half Year In  Advance </t>
  </si>
  <si>
    <t>ROYAL ENFIELD</t>
  </si>
  <si>
    <t>Canteen Management</t>
  </si>
  <si>
    <t xml:space="preserve"> 30-4-2025 to 30-03-2026</t>
  </si>
  <si>
    <t>Ref No : 4625000946 Date :  28-Apr-25</t>
  </si>
  <si>
    <t>28-04-2025 Billing done invoice No. 18/25-26</t>
  </si>
  <si>
    <t>Invoice No : 18/25-26 Date: 28-04-2025</t>
  </si>
  <si>
    <t xml:space="preserve">Chq/Pay Immediatly/GR date GC00 Yearly in Advance100%  </t>
  </si>
  <si>
    <t>KONE Elevator India P.Ltd</t>
  </si>
  <si>
    <t>Canteen , Attendance</t>
  </si>
  <si>
    <t>01-04-2025 to 31-03-2026</t>
  </si>
  <si>
    <t xml:space="preserve"> PO Number: 4556800633 Dated: 21/02/2025</t>
  </si>
  <si>
    <t>Invoice No. 11/25-26  Dt: 17/04/2025Yearly in Advance</t>
  </si>
  <si>
    <t>Oct-25</t>
  </si>
  <si>
    <t xml:space="preserve">Items Covered: </t>
  </si>
  <si>
    <t>Jan-26</t>
  </si>
  <si>
    <t>Dailmer - Security</t>
  </si>
  <si>
    <t>09-05-2025 to 08-05-2026</t>
  </si>
  <si>
    <t xml:space="preserve"> PO Number:1365720941 Dated: 30-Apr-2025</t>
  </si>
  <si>
    <t>Invoice No. 24/25-26 Dt: 12/05/25Yearly in Advance</t>
  </si>
  <si>
    <t>March-26</t>
  </si>
  <si>
    <t>ICF- AMS</t>
  </si>
  <si>
    <t>12-03-2025 to 11-09-2025</t>
  </si>
  <si>
    <t>6 Months</t>
  </si>
  <si>
    <t>`</t>
  </si>
  <si>
    <t>Invoice No. 70/25-26 Dt: 10-07-25</t>
  </si>
  <si>
    <t>Invoice No. 91/25-26 Dt: 07-08-25</t>
  </si>
  <si>
    <t>13.10.2025 Billing Done Invoice No:149/25-26</t>
  </si>
  <si>
    <t>Aug-25</t>
  </si>
  <si>
    <t>Original Contract Ref No : PO Number: ITC/Bio-CAMC/Vol.III Dated: 12/09/2022</t>
  </si>
  <si>
    <t>Items Covered: Attendance</t>
  </si>
  <si>
    <t>Payment Mode:End Every of Quarter</t>
  </si>
  <si>
    <t>IIT, Madras
(Keltron)</t>
  </si>
  <si>
    <t>Ticketing</t>
  </si>
  <si>
    <t>Hfly</t>
  </si>
  <si>
    <t>PO Number: CMO/IIT-RFID/002 Dt.28/09/2021</t>
  </si>
  <si>
    <t>Invoive no. 286/24-25 Dt: 05-03-2025</t>
  </si>
  <si>
    <t>6-10-25 Billing Done Invoice No:136/25-26</t>
  </si>
  <si>
    <t xml:space="preserve">3 Year 2nd half   Billing </t>
  </si>
  <si>
    <t>Items Covered: UHF &amp; Boom Barriers</t>
  </si>
  <si>
    <r>
      <rPr>
        <sz val="11"/>
        <color rgb="FF000000"/>
        <rFont val="Arial"/>
        <family val="2"/>
      </rPr>
      <t>Payment Mode:</t>
    </r>
    <r>
      <rPr>
        <sz val="11"/>
        <color rgb="FFFF0000"/>
        <rFont val="Arial"/>
        <family val="2"/>
      </rPr>
      <t>HALF Yearly POST PM</t>
    </r>
  </si>
  <si>
    <t>CHPT - Bio Metric CAMC
(Keltron)</t>
  </si>
  <si>
    <t xml:space="preserve">01.11.2024 to 30.04.2025 </t>
  </si>
  <si>
    <t>6 months extension</t>
  </si>
  <si>
    <t>Dec</t>
  </si>
  <si>
    <t>CMO/CPA/2024-25/AMC/059-1 Date : 16-12-2024</t>
  </si>
  <si>
    <t>CMO/CPA/2024-25/AMC/004-1 Date : 09-04-2025 Extn Letter No: EDP/1214/2015/F dated 15-07-2025</t>
  </si>
  <si>
    <t>CHPT - HEP-Extention
(Keltron)</t>
  </si>
  <si>
    <t>(HEP) Harbour Entry Permit</t>
  </si>
  <si>
    <t>16-12-2024 to 15-12-2025</t>
  </si>
  <si>
    <t>Hfly-1</t>
  </si>
  <si>
    <t>PO Number:CMO/CPA-HEP006 Dt 15-03-2025</t>
  </si>
  <si>
    <t>Billed on 23 of July invoice No. 79</t>
  </si>
  <si>
    <t>Items Covered: Habour Entry Permit</t>
  </si>
  <si>
    <t xml:space="preserve">Hfly-2 </t>
  </si>
  <si>
    <t>Invoice No : 300,301/24-25 Date : 21-03-2025</t>
  </si>
  <si>
    <r>
      <t>Payment Mode:</t>
    </r>
    <r>
      <rPr>
        <sz val="11"/>
        <color rgb="FFFF0000"/>
        <rFont val="Arial"/>
        <family val="2"/>
      </rPr>
      <t xml:space="preserve"> half yearly post PM </t>
    </r>
  </si>
  <si>
    <t>CHPT - CAMC QR and  RFID Readers
(Keltron)</t>
  </si>
  <si>
    <t>HEP - Hardware</t>
  </si>
  <si>
    <t>Billed on 23 of July Invoice No. 79</t>
  </si>
  <si>
    <t>Items Covered: QR &amp; RFID Reader</t>
  </si>
  <si>
    <r>
      <t>Payment Mode:</t>
    </r>
    <r>
      <rPr>
        <sz val="11"/>
        <color rgb="FFFF0000"/>
        <rFont val="Arial"/>
        <family val="2"/>
      </rPr>
      <t xml:space="preserve">half yearly post PM </t>
    </r>
  </si>
  <si>
    <t>CHPT - Tier 1 Technical Support 
(Keltron)</t>
  </si>
  <si>
    <t>HEP - Manpower</t>
  </si>
  <si>
    <t>26-10-2024 to 25-10-2025</t>
  </si>
  <si>
    <t>Invoice No : 300/24-25, 301/24-25 Date : 21-03-2025</t>
  </si>
  <si>
    <t>Invocie No : 34/25-26  Date : 19-05-2025</t>
  </si>
  <si>
    <t xml:space="preserve">Invoice No. 89/25-26 Dt: 05.08.2025 </t>
  </si>
  <si>
    <t>Items Covered: Software &amp; Hardware</t>
  </si>
  <si>
    <t>Invocie No : 300/24-25</t>
  </si>
  <si>
    <t>.</t>
  </si>
  <si>
    <r>
      <t>Payment Mode:</t>
    </r>
    <r>
      <rPr>
        <sz val="11"/>
        <color rgb="FFFF0000"/>
        <rFont val="Arial"/>
        <family val="2"/>
      </rPr>
      <t>Qtrly in Advance with in 15 days</t>
    </r>
  </si>
  <si>
    <t>CHPT AMS Upgradadation of existing AMS Systems
(Keltron)</t>
  </si>
  <si>
    <t>AMS - Upgrade</t>
  </si>
  <si>
    <t>PO Number:CMO/CPA-UPAMS/003 Dt 26-06-2024</t>
  </si>
  <si>
    <t>Invoice No. 53/25-26 Dt:03-06-25</t>
  </si>
  <si>
    <t xml:space="preserve">Invoice No. 90/25-26 Dt: 05.08.2025 </t>
  </si>
  <si>
    <t>15.10.2025 Billing Done Invoice No:153/25-26</t>
  </si>
  <si>
    <t>16.04.2026</t>
  </si>
  <si>
    <t xml:space="preserve">Integration with face reader/@ Rs.81775.5/- </t>
  </si>
  <si>
    <t xml:space="preserve">Integration with SAP HCP/@ Rs.228037/- </t>
  </si>
  <si>
    <t xml:space="preserve">  </t>
  </si>
  <si>
    <t>Ascendas IT Park (Chennai) Limited-Capital Land - Chennai</t>
  </si>
  <si>
    <t>1-2-2025 to 31-1-2026</t>
  </si>
  <si>
    <t>PO Number:4500050833Dt 01-05-2025</t>
  </si>
  <si>
    <t>Before 01 May  Billing done Invoice no . 36 Dt. 19-05-25</t>
  </si>
  <si>
    <t>3.10.2025 Billing Done Invoice No:134/25-26</t>
  </si>
  <si>
    <t>invoice No. 36</t>
  </si>
  <si>
    <t>1year AMC-Half yearly</t>
  </si>
  <si>
    <t>Dailmer -HR (CLMS)</t>
  </si>
  <si>
    <t>Contract Labor Management</t>
  </si>
  <si>
    <t>20-05-2025 to 19-05-2026</t>
  </si>
  <si>
    <t>Yearly</t>
  </si>
  <si>
    <t>Billing done Invoive No. 41/25-56</t>
  </si>
  <si>
    <t>PO Number:1365719564 Dt 19-05-2025</t>
  </si>
  <si>
    <t>Invocie No :41/25-26</t>
  </si>
  <si>
    <t>Yearly Advance (30 days from date of invoice)</t>
  </si>
  <si>
    <t>Accentas- Capitaland-Bangalore</t>
  </si>
  <si>
    <t>01-02-2025 to 31-01-2026</t>
  </si>
  <si>
    <t>PO Number:4500049766 Dt 19-05-2025</t>
  </si>
  <si>
    <t>Billing done Invoice No. 35/5-26 Dt. 19-05-2025</t>
  </si>
  <si>
    <t>Invocie No :35/25-26 Date: 19-05-2025</t>
  </si>
  <si>
    <t>TVS Tyres Madurai</t>
  </si>
  <si>
    <t>01-04-2023 to 31-03-2026</t>
  </si>
  <si>
    <t>PO Number:2222007782 Dt 05-07-2025</t>
  </si>
  <si>
    <t>Invoices No. 68 raised on 7/7/25</t>
  </si>
  <si>
    <t>Completed on 20-jun-2025 by Karthickeyan</t>
  </si>
  <si>
    <t>4.11.2025 billing done invoice no 180/25-26</t>
  </si>
  <si>
    <t>DG Vaishnav College</t>
  </si>
  <si>
    <t>1-05-2025 to 30-04-2026</t>
  </si>
  <si>
    <t>Invoice No ; 56-25/26 Date ; 16-06-2025</t>
  </si>
  <si>
    <t>Invoice on 16-06-2025</t>
  </si>
  <si>
    <t>Tagros- Cuddalore,Dahej Gujarat, Ankleshwar, Panoli &amp; MM Nagar   (Atrack)</t>
  </si>
  <si>
    <t>AMS Software + remote suppport</t>
  </si>
  <si>
    <t>01-01-2025 to 31-12-2025</t>
  </si>
  <si>
    <t>Qtrly Advance</t>
  </si>
  <si>
    <t>Po. No. 4310000466 Dt; 26-05-25</t>
  </si>
  <si>
    <t>Invoice No. 59 Dt. 19-06-25/2nd amount 17120</t>
  </si>
  <si>
    <t>Invoice No 59 Dt: 19-06-25</t>
  </si>
  <si>
    <t>Payment Terms: Qtly Advance @ Rs.49987.50</t>
  </si>
  <si>
    <t>Every Month invoice on Rs.17120</t>
  </si>
  <si>
    <t>Tagros -  Dahej Gujarat</t>
  </si>
  <si>
    <t>Hardware</t>
  </si>
  <si>
    <t>01.07.25 to 30.06.26</t>
  </si>
  <si>
    <t>Halfly Advance</t>
  </si>
  <si>
    <t>Po. No. 4310000480 Dt: 16-07-25</t>
  </si>
  <si>
    <t>Invoive No. 72 Dt: 16-07-25</t>
  </si>
  <si>
    <t>In Voive No. 72 Dt: 16-07-25</t>
  </si>
  <si>
    <t xml:space="preserve">Payment Terms: Qtly Advance </t>
  </si>
  <si>
    <t>Tagros -  Ankleshwar</t>
  </si>
  <si>
    <t>Po. No. 4310000484 Dt: 17-07-25</t>
  </si>
  <si>
    <t>Invoive no. 73 Dt. 18-07-25</t>
  </si>
  <si>
    <t>Tagros -  Panoli</t>
  </si>
  <si>
    <t>01.08.25 to 31.07.26</t>
  </si>
  <si>
    <t>Po. No. 4310000481 Dt: 16.07.2025</t>
  </si>
  <si>
    <t>Invoice No.88/25-26 dated 04-08-2025</t>
  </si>
  <si>
    <t>Invoive no :88/dated 04.08.2025</t>
  </si>
  <si>
    <t xml:space="preserve">Payment Terms: </t>
  </si>
  <si>
    <t>Tagros -  MM nagar</t>
  </si>
  <si>
    <t>Access, AMS, CCTV, FAS</t>
  </si>
  <si>
    <t>Po. No. 4310000493 Dt: 22.08.2025</t>
  </si>
  <si>
    <t>Invoive no :</t>
  </si>
  <si>
    <t>hold</t>
  </si>
  <si>
    <t>Cybertronics Security Automation Integrators pvt LIT AMC (WTC)</t>
  </si>
  <si>
    <t>Parking</t>
  </si>
  <si>
    <t>01.09.25 to 31.08.26</t>
  </si>
  <si>
    <t>Full in advance</t>
  </si>
  <si>
    <t>Po. No. 25-26/GST/045 dated 01.09.2025</t>
  </si>
  <si>
    <t>IN voice No: 122 DATE 17.9.2025</t>
  </si>
  <si>
    <t>Science City (CAMC) Kolkata</t>
  </si>
  <si>
    <t>01.09.2025 to 30.12.2025</t>
  </si>
  <si>
    <t>Po. No. SCCY-18011/17/PUR/2025(48) dated 29.8.2025</t>
  </si>
  <si>
    <t>Payment Terms: Qtrly Post PM</t>
  </si>
  <si>
    <t>TATA Communications (CAMC)</t>
  </si>
  <si>
    <t>Access, CCTV, FAS, PA</t>
  </si>
  <si>
    <t>1.10.2025 to 30.9.2026</t>
  </si>
  <si>
    <t>Po. No. 0081032471/15.9.2025</t>
  </si>
  <si>
    <t>Payment Terms: Qrtly Advance</t>
  </si>
  <si>
    <t>Daimler DICV _ CCTV</t>
  </si>
  <si>
    <t>CCTV</t>
  </si>
  <si>
    <t>11.08.2025 to 10.08.2026</t>
  </si>
  <si>
    <t>Payment Terms: CAMC 100% Advance, Manpower , monthly post period</t>
  </si>
  <si>
    <t>Vikramsolar Kanchipuram</t>
  </si>
  <si>
    <t>1.7.2025 To 30.6.2026</t>
  </si>
  <si>
    <t>Po. No. 4400016343</t>
  </si>
  <si>
    <t>6.10.2025 Billing Done Invoice No:135/25-26</t>
  </si>
  <si>
    <t>Payment Terms: 50% Basic Payment 15 days</t>
  </si>
  <si>
    <t xml:space="preserve"> </t>
  </si>
  <si>
    <t>Pending Amount</t>
  </si>
  <si>
    <t>Dailmer (Security)</t>
  </si>
  <si>
    <t>09.05.2024 to 
08.05.2025</t>
  </si>
  <si>
    <t>PO Number: 1365716871 - Dated : 5/8/2024</t>
  </si>
  <si>
    <r>
      <rPr>
        <b/>
        <sz val="10"/>
        <color rgb="FF000000"/>
        <rFont val="Arial"/>
        <family val="2"/>
      </rPr>
      <t xml:space="preserve">111/24-25
</t>
    </r>
    <r>
      <rPr>
        <sz val="10"/>
        <color rgb="FF000000"/>
        <rFont val="Arial"/>
        <family val="2"/>
      </rPr>
      <t>25/07/24</t>
    </r>
  </si>
  <si>
    <t>31/24-25
09-05-2024</t>
  </si>
  <si>
    <t>Items Covered: Access Management System</t>
  </si>
  <si>
    <t>Dailmer!A1</t>
  </si>
  <si>
    <r>
      <rPr>
        <sz val="10"/>
        <color rgb="FF000000"/>
        <rFont val="Arial"/>
        <family val="2"/>
      </rPr>
      <t xml:space="preserve">Billing Cycle: </t>
    </r>
    <r>
      <rPr>
        <sz val="10"/>
        <color rgb="FFFF0000"/>
        <rFont val="Arial"/>
        <family val="2"/>
      </rPr>
      <t>Yearly in Advance</t>
    </r>
  </si>
  <si>
    <t>Ashok Leyland</t>
  </si>
  <si>
    <t>01.06.2024 to 
31.05.2025</t>
  </si>
  <si>
    <t>PO Number: S242500016 - Dated : 5/30/2024</t>
  </si>
  <si>
    <r>
      <rPr>
        <b/>
        <sz val="10"/>
        <color rgb="FF000000"/>
        <rFont val="Arial"/>
        <family val="2"/>
      </rPr>
      <t xml:space="preserve">58/24-25
</t>
    </r>
    <r>
      <rPr>
        <sz val="10"/>
        <color rgb="FF000000"/>
        <rFont val="Arial"/>
        <family val="2"/>
      </rPr>
      <t>03/06/24</t>
    </r>
  </si>
  <si>
    <t>Raise bill - End of Sep</t>
  </si>
  <si>
    <t>Raise bill - End of Nov</t>
  </si>
  <si>
    <t>Raise bill - End of Feb</t>
  </si>
  <si>
    <t>Items Covered: CCTV, Intrusion &amp; HDD Swapping</t>
  </si>
  <si>
    <t>Ashok Leyland'!A1</t>
  </si>
  <si>
    <t>01.04.2024 to 
31.03.2025</t>
  </si>
  <si>
    <t>PO Number: 4624001195 Dated: 5/7/2024</t>
  </si>
  <si>
    <r>
      <rPr>
        <b/>
        <sz val="10"/>
        <color rgb="FF000000"/>
        <rFont val="Arial"/>
        <family val="2"/>
      </rPr>
      <t xml:space="preserve">30/24-25
</t>
    </r>
    <r>
      <rPr>
        <sz val="10"/>
        <color rgb="FF000000"/>
        <rFont val="Arial"/>
        <family val="2"/>
      </rPr>
      <t>07/05/24</t>
    </r>
  </si>
  <si>
    <t xml:space="preserve">Items Covered: Canteen Management H/W &amp; S/W
</t>
  </si>
  <si>
    <t>Royal Enfield'!A1</t>
  </si>
  <si>
    <t>DG Vaishanv College</t>
  </si>
  <si>
    <t>01.05.2024 to
30.04.2025</t>
  </si>
  <si>
    <t>PO Number: Qref No: PLPL/CAMC/2024-2025/VC/020- Dtd:4/4/2024</t>
  </si>
  <si>
    <r>
      <rPr>
        <b/>
        <sz val="10"/>
        <color rgb="FF000000"/>
        <rFont val="Arial"/>
        <family val="2"/>
      </rPr>
      <t xml:space="preserve">50/24-25
</t>
    </r>
    <r>
      <rPr>
        <sz val="10"/>
        <color rgb="FF000000"/>
        <rFont val="Arial"/>
        <family val="2"/>
      </rPr>
      <t>29/05/24</t>
    </r>
  </si>
  <si>
    <t>Items Covered: Attendance Management System</t>
  </si>
  <si>
    <t>DD Vaishanv College'!A1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</si>
  <si>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Fully in Advance</t>
    </r>
  </si>
  <si>
    <t>01.04.2024 to
31.03.2025</t>
  </si>
  <si>
    <t>PO Number: 4552950564</t>
  </si>
  <si>
    <r>
      <rPr>
        <b/>
        <sz val="10"/>
        <color rgb="FF000000"/>
        <rFont val="Arial"/>
        <family val="2"/>
      </rPr>
      <t xml:space="preserve">60/24-25
</t>
    </r>
    <r>
      <rPr>
        <sz val="10"/>
        <color rgb="FF000000"/>
        <rFont val="Arial"/>
        <family val="2"/>
      </rPr>
      <t>06/06/24</t>
    </r>
  </si>
  <si>
    <t>Items Covered: 1) Canteen 2) Attendance Management System</t>
  </si>
  <si>
    <t>KONE Elevator India P.Ltd'!A1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</si>
  <si>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Yearly in Advance</t>
    </r>
  </si>
  <si>
    <t>Enerji System Pvt Ltd - vellore</t>
  </si>
  <si>
    <t>PO Number: 1. PO-EN-12</t>
  </si>
  <si>
    <r>
      <rPr>
        <b/>
        <sz val="10"/>
        <color rgb="FF000000"/>
        <rFont val="Arial"/>
        <family val="2"/>
      </rPr>
      <t xml:space="preserve">10/24-25
</t>
    </r>
    <r>
      <rPr>
        <sz val="10"/>
        <color rgb="FF000000"/>
        <rFont val="Arial"/>
        <family val="2"/>
      </rPr>
      <t>12.04.24</t>
    </r>
  </si>
  <si>
    <t>Raise 2nd Inv after PM</t>
  </si>
  <si>
    <r>
      <rPr>
        <b/>
        <sz val="10"/>
        <color rgb="FF000000"/>
        <rFont val="Arial"/>
        <family val="2"/>
      </rPr>
      <t xml:space="preserve">194/24-25
</t>
    </r>
    <r>
      <rPr>
        <sz val="10"/>
        <color rgb="FF000000"/>
        <rFont val="Arial"/>
        <family val="2"/>
      </rPr>
      <t>14.11.24</t>
    </r>
  </si>
  <si>
    <t>AMC - COMPLETED
NEED TO SEND REMIN-MAIL</t>
  </si>
  <si>
    <t>Items Covered: Access &amp; Attendance System</t>
  </si>
  <si>
    <t>Enerji System Pvt Ltd'!A1</t>
  </si>
  <si>
    <r>
      <rPr>
        <sz val="10"/>
        <color rgb="FF000000"/>
        <rFont val="Arial"/>
        <family val="2"/>
      </rPr>
      <t xml:space="preserve">Payment Mode:  </t>
    </r>
    <r>
      <rPr>
        <sz val="10"/>
        <color rgb="FFFF0000"/>
        <rFont val="Arial"/>
        <family val="2"/>
      </rPr>
      <t>HALF Yearly in Advance</t>
    </r>
  </si>
  <si>
    <t>Enerji System Pvt Ltd - Tirunaeveli</t>
  </si>
  <si>
    <t>PO Number:  PO-EN-13</t>
  </si>
  <si>
    <r>
      <rPr>
        <b/>
        <sz val="10"/>
        <color rgb="FF000000"/>
        <rFont val="Arial"/>
        <family val="2"/>
      </rPr>
      <t xml:space="preserve">11/24-25
</t>
    </r>
    <r>
      <rPr>
        <sz val="10"/>
        <color rgb="FF000000"/>
        <rFont val="Arial"/>
        <family val="2"/>
      </rPr>
      <t>12.04.24</t>
    </r>
  </si>
  <si>
    <t>193/24-25
14.11.24</t>
  </si>
  <si>
    <t>Enerji System Pvt Ltd - TICEL</t>
  </si>
  <si>
    <t>PO Number: PO-EN-14</t>
  </si>
  <si>
    <r>
      <rPr>
        <b/>
        <sz val="10"/>
        <color rgb="FF000000"/>
        <rFont val="Arial"/>
        <family val="2"/>
      </rPr>
      <t xml:space="preserve">09/24-25
</t>
    </r>
    <r>
      <rPr>
        <sz val="10"/>
        <color rgb="FF000000"/>
        <rFont val="Arial"/>
        <family val="2"/>
      </rPr>
      <t>12.04.24</t>
    </r>
  </si>
  <si>
    <t>Padmapriya Hospital</t>
  </si>
  <si>
    <t>PO Number: REF:PLPL/CAMC/2024-2025/VC/013</t>
  </si>
  <si>
    <r>
      <rPr>
        <b/>
        <sz val="10"/>
        <color rgb="FF000000"/>
        <rFont val="Arial"/>
        <family val="2"/>
      </rPr>
      <t xml:space="preserve">05/24-25
</t>
    </r>
    <r>
      <rPr>
        <sz val="10"/>
        <color rgb="FF000000"/>
        <rFont val="Arial"/>
        <family val="2"/>
      </rPr>
      <t xml:space="preserve">10/04/24
</t>
    </r>
  </si>
  <si>
    <t>Items Covered: FAS</t>
  </si>
  <si>
    <t>Padmapriya Hospital'!A1</t>
  </si>
  <si>
    <t>Vlead Design Services Pvt Ltd</t>
  </si>
  <si>
    <t>01.01.2024 to
31.12.2024</t>
  </si>
  <si>
    <t>PO Number: PLPL/AMC/2023-2024/VC/03</t>
  </si>
  <si>
    <r>
      <rPr>
        <b/>
        <sz val="10"/>
        <color rgb="FF000000"/>
        <rFont val="Arial"/>
        <family val="2"/>
      </rPr>
      <t xml:space="preserve">02/24-25
</t>
    </r>
    <r>
      <rPr>
        <sz val="10"/>
        <color rgb="FF000000"/>
        <rFont val="Arial"/>
        <family val="2"/>
      </rPr>
      <t xml:space="preserve">10.04.24 &amp;
</t>
    </r>
    <r>
      <rPr>
        <b/>
        <sz val="10"/>
        <color rgb="FF000000"/>
        <rFont val="Arial"/>
        <family val="2"/>
      </rPr>
      <t xml:space="preserve">97/24-25
</t>
    </r>
    <r>
      <rPr>
        <sz val="10"/>
        <color rgb="FF000000"/>
        <rFont val="Arial"/>
        <family val="2"/>
      </rPr>
      <t>13.07.24</t>
    </r>
  </si>
  <si>
    <t>Raise  after PM</t>
  </si>
  <si>
    <t>196/24-25
14-11-24</t>
  </si>
  <si>
    <t>Items Covered: ACS &amp; CCTV</t>
  </si>
  <si>
    <t>Vlead Design'!A1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</si>
  <si>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Quarterly in Advance</t>
    </r>
  </si>
  <si>
    <t>Dailmer - HR
(CAMC)</t>
  </si>
  <si>
    <t>05.03.2024to
04.03.2025</t>
  </si>
  <si>
    <t>PO Number: 136571706</t>
  </si>
  <si>
    <r>
      <rPr>
        <b/>
        <sz val="10"/>
        <color rgb="FF000000"/>
        <rFont val="Arial"/>
        <family val="2"/>
      </rPr>
      <t xml:space="preserve">311/23-24
</t>
    </r>
    <r>
      <rPr>
        <sz val="10"/>
        <color rgb="FF000000"/>
        <rFont val="Arial"/>
        <family val="2"/>
      </rPr>
      <t>5/3/24</t>
    </r>
  </si>
  <si>
    <t>Items Covered: Access CAMC - HR</t>
  </si>
  <si>
    <t>Dailmer(CAMC)'!A1</t>
  </si>
  <si>
    <t>TAGROS Chemical India Pvt 
Ltd (CAMC)</t>
  </si>
  <si>
    <t>08.02.2024to
09.02.2025</t>
  </si>
  <si>
    <t>PO Number: 4310000322</t>
  </si>
  <si>
    <t>Items Covered: ATRAK Software for All Locations</t>
  </si>
  <si>
    <r>
      <rPr>
        <b/>
        <sz val="10"/>
        <color rgb="FF000000"/>
        <rFont val="Arial"/>
        <family val="2"/>
      </rPr>
      <t xml:space="preserve">296/23-24
</t>
    </r>
    <r>
      <rPr>
        <sz val="10"/>
        <color rgb="FF000000"/>
        <rFont val="Arial"/>
        <family val="2"/>
      </rPr>
      <t>10.02.24</t>
    </r>
  </si>
  <si>
    <t>TAGROS CAMC'!A1</t>
  </si>
  <si>
    <t>JOUVE India</t>
  </si>
  <si>
    <t>01.02.2024to
 31.01.2025</t>
  </si>
  <si>
    <t>PO Number: PLPL/CAMC Quote/2024/VC/06-REV01</t>
  </si>
  <si>
    <r>
      <rPr>
        <b/>
        <sz val="10"/>
        <color rgb="FF000000"/>
        <rFont val="Arial"/>
        <family val="2"/>
      </rPr>
      <t xml:space="preserve">290/23-24
</t>
    </r>
    <r>
      <rPr>
        <sz val="10"/>
        <color rgb="FF000000"/>
        <rFont val="Arial"/>
        <family val="2"/>
      </rPr>
      <t>6/2/24</t>
    </r>
  </si>
  <si>
    <t>Items Covered: CCTV 2nd Flr &amp; Common Area + Cafeteria, FAS, PA</t>
  </si>
  <si>
    <r>
      <rPr>
        <b/>
        <sz val="10"/>
        <color rgb="FF000000"/>
        <rFont val="Arial"/>
        <family val="2"/>
      </rPr>
      <t xml:space="preserve">291/23-24
</t>
    </r>
    <r>
      <rPr>
        <sz val="10"/>
        <color rgb="FF000000"/>
        <rFont val="Arial"/>
        <family val="2"/>
      </rPr>
      <t>6/2/24</t>
    </r>
  </si>
  <si>
    <t>JOVE!A1</t>
  </si>
  <si>
    <r>
      <rPr>
        <b/>
        <sz val="10"/>
        <color rgb="FF000000"/>
        <rFont val="Arial"/>
        <family val="2"/>
      </rPr>
      <t xml:space="preserve">288/23-24
</t>
    </r>
    <r>
      <rPr>
        <sz val="10"/>
        <color rgb="FF000000"/>
        <rFont val="Arial"/>
        <family val="2"/>
      </rPr>
      <t>6/2/24</t>
    </r>
  </si>
  <si>
    <r>
      <rPr>
        <b/>
        <sz val="10"/>
        <color rgb="FF000000"/>
        <rFont val="Arial"/>
        <family val="2"/>
      </rPr>
      <t xml:space="preserve">289/23-24
</t>
    </r>
    <r>
      <rPr>
        <sz val="10"/>
        <color rgb="FF000000"/>
        <rFont val="Arial"/>
        <family val="2"/>
      </rPr>
      <t>6/2/24</t>
    </r>
  </si>
  <si>
    <t>Jawahar</t>
  </si>
  <si>
    <t>01.01.2024to 31.12.2024</t>
  </si>
  <si>
    <t xml:space="preserve">PO Number: PLPL/AMC/2023-2024/VC/01-REV01,Dated </t>
  </si>
  <si>
    <r>
      <rPr>
        <b/>
        <sz val="10"/>
        <color rgb="FF000000"/>
        <rFont val="Arial"/>
        <family val="2"/>
      </rPr>
      <t xml:space="preserve">267/23-24
</t>
    </r>
    <r>
      <rPr>
        <sz val="10"/>
        <color rgb="FF000000"/>
        <rFont val="Arial"/>
        <family val="2"/>
      </rPr>
      <t>11.01.24</t>
    </r>
  </si>
  <si>
    <t>Jawahar!A1</t>
  </si>
  <si>
    <t>GH Induction</t>
  </si>
  <si>
    <t>01.04.2024-
31.03.2025</t>
  </si>
  <si>
    <t>PO Number: 242511242 Dated :17.05.2024</t>
  </si>
  <si>
    <r>
      <rPr>
        <b/>
        <sz val="10"/>
        <color rgb="FF000000"/>
        <rFont val="Arial"/>
        <family val="2"/>
      </rPr>
      <t xml:space="preserve">139/24-25
</t>
    </r>
    <r>
      <rPr>
        <sz val="10"/>
        <color rgb="FF000000"/>
        <rFont val="Arial"/>
        <family val="2"/>
      </rPr>
      <t>21/8/24</t>
    </r>
  </si>
  <si>
    <t>After PM 2nd qtr</t>
  </si>
  <si>
    <t>Raise 3rd quarter Inv After PM in Jan</t>
  </si>
  <si>
    <t>Raise 4th quarter Inv After PM in Mar</t>
  </si>
  <si>
    <t>Items Covered: CCTV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</si>
  <si>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Quarterly post PM</t>
    </r>
  </si>
  <si>
    <t>TAGROS Chemical India Pvt 
Ltd Man Power Support.</t>
  </si>
  <si>
    <r>
      <rPr>
        <sz val="10"/>
        <color rgb="FF000000"/>
        <rFont val="Arial"/>
        <family val="2"/>
      </rPr>
      <t xml:space="preserve">PO Number: </t>
    </r>
    <r>
      <rPr>
        <strike/>
        <sz val="10"/>
        <color rgb="FF000000"/>
        <rFont val="Arial"/>
        <family val="2"/>
      </rPr>
      <t xml:space="preserve">4310000322 / </t>
    </r>
    <r>
      <rPr>
        <b/>
        <sz val="10"/>
        <color rgb="FF000000"/>
        <rFont val="Arial"/>
        <family val="2"/>
      </rPr>
      <t>4310000157 Dated: 05/2/2022</t>
    </r>
  </si>
  <si>
    <r>
      <rPr>
        <b/>
        <sz val="10"/>
        <color rgb="FF000000"/>
        <rFont val="Arial"/>
        <family val="2"/>
      </rPr>
      <t xml:space="preserve">82/24-25
</t>
    </r>
    <r>
      <rPr>
        <sz val="10"/>
        <color rgb="FF000000"/>
        <rFont val="Arial"/>
        <family val="2"/>
      </rPr>
      <t>04/07/2024
P.No.4310000157-5/2/22</t>
    </r>
  </si>
  <si>
    <r>
      <rPr>
        <b/>
        <sz val="10"/>
        <color rgb="FF000000"/>
        <rFont val="Arial"/>
        <family val="2"/>
      </rPr>
      <t xml:space="preserve">119/24-25
</t>
    </r>
    <r>
      <rPr>
        <sz val="10"/>
        <color rgb="FF000000"/>
        <rFont val="Arial"/>
        <family val="2"/>
      </rPr>
      <t>02/08/2024
Inv.No.4310000157-5/2/22</t>
    </r>
  </si>
  <si>
    <r>
      <rPr>
        <b/>
        <sz val="10"/>
        <color rgb="FF000000"/>
        <rFont val="Arial"/>
        <family val="2"/>
      </rPr>
      <t xml:space="preserve">144/24-25
</t>
    </r>
    <r>
      <rPr>
        <sz val="10"/>
        <color rgb="FF000000"/>
        <rFont val="Arial"/>
        <family val="2"/>
      </rPr>
      <t>03/9/2024
Inv.No.4310000157-5/2/22</t>
    </r>
  </si>
  <si>
    <r>
      <rPr>
        <b/>
        <sz val="10"/>
        <color rgb="FF000000"/>
        <rFont val="Arial"/>
        <family val="2"/>
      </rPr>
      <t xml:space="preserve">168/24-25
</t>
    </r>
    <r>
      <rPr>
        <sz val="10"/>
        <color rgb="FF000000"/>
        <rFont val="Arial"/>
        <family val="2"/>
      </rPr>
      <t>04/10/2024
Inv.No.4310000157-5/2/22</t>
    </r>
  </si>
  <si>
    <r>
      <rPr>
        <b/>
        <sz val="10"/>
        <color rgb="FF000000"/>
        <rFont val="Arial"/>
        <family val="2"/>
      </rPr>
      <t xml:space="preserve">26/24-25
</t>
    </r>
    <r>
      <rPr>
        <sz val="10"/>
        <color rgb="FF000000"/>
        <rFont val="Arial"/>
        <family val="2"/>
      </rPr>
      <t>04/05/2024
Inv.No.4310000157-5/2/22</t>
    </r>
  </si>
  <si>
    <r>
      <rPr>
        <b/>
        <sz val="10"/>
        <color rgb="FF000000"/>
        <rFont val="Arial"/>
        <family val="2"/>
      </rPr>
      <t>57/24-25 03</t>
    </r>
    <r>
      <rPr>
        <sz val="10"/>
        <color rgb="FF000000"/>
        <rFont val="Arial"/>
        <family val="2"/>
      </rPr>
      <t>/06/2024
Inv.No.4310000157-5/2/22</t>
    </r>
  </si>
  <si>
    <r>
      <rPr>
        <b/>
        <sz val="10"/>
        <color rgb="FF000000"/>
        <rFont val="Arial"/>
        <family val="2"/>
      </rPr>
      <t xml:space="preserve">188/24-25
</t>
    </r>
    <r>
      <rPr>
        <sz val="10"/>
        <color rgb="FF000000"/>
        <rFont val="Arial"/>
        <family val="2"/>
      </rPr>
      <t>06/11/2024
Inv.No.4310000157-5/2/22</t>
    </r>
  </si>
  <si>
    <t>Raise Inv in 
Apr</t>
  </si>
  <si>
    <t>Raise Inv in 
May</t>
  </si>
  <si>
    <t>Raise Inv in 
Jun</t>
  </si>
  <si>
    <t>Raise Inv in 
Jul</t>
  </si>
  <si>
    <t>Raise Inv in 
Aug</t>
  </si>
  <si>
    <t>Raise Inv in 
Sep</t>
  </si>
  <si>
    <t>Raise Inv in 
Oct</t>
  </si>
  <si>
    <t>Raise Inv in 
Nov</t>
  </si>
  <si>
    <t>Raise Inv in 
Dec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</si>
  <si>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Monthly</t>
    </r>
  </si>
  <si>
    <t>Global Health 
Care - vepary</t>
  </si>
  <si>
    <t>PO Number: 837</t>
  </si>
  <si>
    <r>
      <rPr>
        <b/>
        <sz val="10"/>
        <color rgb="FF000000"/>
        <rFont val="Arial"/>
        <family val="2"/>
      </rPr>
      <t xml:space="preserve">100/23-24
</t>
    </r>
    <r>
      <rPr>
        <sz val="10"/>
        <color rgb="FF000000"/>
        <rFont val="Arial"/>
        <family val="2"/>
      </rPr>
      <t>17.07.24</t>
    </r>
  </si>
  <si>
    <t>Raise Inv on 05.10.24</t>
  </si>
  <si>
    <t>Items Covered: Acs &amp; Attendance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</si>
  <si>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Half Yearly in Advance</t>
    </r>
  </si>
  <si>
    <t>Global Health Care - Velacherry</t>
  </si>
  <si>
    <r>
      <rPr>
        <b/>
        <sz val="10"/>
        <color rgb="FF000000"/>
        <rFont val="Arial"/>
        <family val="2"/>
      </rPr>
      <t xml:space="preserve">101/23-24
</t>
    </r>
    <r>
      <rPr>
        <sz val="10"/>
        <color rgb="FF000000"/>
        <rFont val="Arial"/>
        <family val="2"/>
      </rPr>
      <t>17.07.24</t>
    </r>
  </si>
  <si>
    <t>Global Health Care - Vellore</t>
  </si>
  <si>
    <r>
      <rPr>
        <b/>
        <sz val="10"/>
        <color rgb="FF000000"/>
        <rFont val="Arial"/>
        <family val="2"/>
      </rPr>
      <t xml:space="preserve">102/23-24
</t>
    </r>
    <r>
      <rPr>
        <sz val="10"/>
        <color rgb="FF000000"/>
        <rFont val="Arial"/>
        <family val="2"/>
      </rPr>
      <t>17.07.24</t>
    </r>
  </si>
  <si>
    <t>Global Health Care - baroda</t>
  </si>
  <si>
    <r>
      <rPr>
        <b/>
        <sz val="10"/>
        <color rgb="FF000000"/>
        <rFont val="Arial"/>
        <family val="2"/>
      </rPr>
      <t xml:space="preserve">103/23-24
</t>
    </r>
    <r>
      <rPr>
        <sz val="10"/>
        <color rgb="FF000000"/>
        <rFont val="Arial"/>
        <family val="2"/>
      </rPr>
      <t>17.07.24</t>
    </r>
  </si>
  <si>
    <t>Vikram Solar</t>
  </si>
  <si>
    <t>01.07.2024 to 
30.06.2025</t>
  </si>
  <si>
    <t>PO Number: 4600000331</t>
  </si>
  <si>
    <r>
      <rPr>
        <b/>
        <sz val="10"/>
        <color rgb="FF000000"/>
        <rFont val="Arial"/>
        <family val="2"/>
      </rPr>
      <t xml:space="preserve">274/23-24
</t>
    </r>
    <r>
      <rPr>
        <sz val="10"/>
        <color rgb="FF000000"/>
        <rFont val="Arial"/>
        <family val="2"/>
      </rPr>
      <t>25/01/24</t>
    </r>
  </si>
  <si>
    <r>
      <rPr>
        <b/>
        <sz val="10"/>
        <color rgb="FF000000"/>
        <rFont val="Arial"/>
        <family val="2"/>
      </rPr>
      <t xml:space="preserve">135/24-25
</t>
    </r>
    <r>
      <rPr>
        <sz val="10"/>
        <color rgb="FF000000"/>
        <rFont val="Arial"/>
        <family val="2"/>
      </rPr>
      <t>14/08/24</t>
    </r>
  </si>
  <si>
    <t>Raise Inv in 1st Week Dec</t>
  </si>
  <si>
    <t>Hanon</t>
  </si>
  <si>
    <t>01.07.2024 to 31.06.2025</t>
  </si>
  <si>
    <t>PO Number: 4200065111 Dated: 23/09/2024</t>
  </si>
  <si>
    <r>
      <rPr>
        <b/>
        <sz val="10"/>
        <color rgb="FF000000"/>
        <rFont val="Arial"/>
        <family val="2"/>
      </rPr>
      <t xml:space="preserve">155/24-25
</t>
    </r>
    <r>
      <rPr>
        <sz val="10"/>
        <color rgb="FF000000"/>
        <rFont val="Arial"/>
        <family val="2"/>
      </rPr>
      <t>27/09/2024</t>
    </r>
  </si>
  <si>
    <t>Items Covered: ATRAK Software Support</t>
  </si>
  <si>
    <t>TAGROS Chemical India Pvt 
Ltd. Dahej</t>
  </si>
  <si>
    <t>01.07.2024 to 30.06.2025</t>
  </si>
  <si>
    <t>PO Number: 4310000372 Dated: 24/07/2024</t>
  </si>
  <si>
    <r>
      <rPr>
        <b/>
        <sz val="10"/>
        <color rgb="FF000000"/>
        <rFont val="Arial"/>
        <family val="2"/>
      </rPr>
      <t xml:space="preserve">114/24-25
</t>
    </r>
    <r>
      <rPr>
        <sz val="10"/>
        <color rgb="FF000000"/>
        <rFont val="Arial"/>
        <family val="2"/>
      </rPr>
      <t>25/07/24</t>
    </r>
  </si>
  <si>
    <t>Raise Inv in 1st week of Jan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</si>
  <si>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HALF Yearly in Advance</t>
    </r>
  </si>
  <si>
    <t>TAGROS Chemical India Pvt 
Ltd Panoli</t>
  </si>
  <si>
    <t>01.08.2024 to 31.07.2025</t>
  </si>
  <si>
    <t>PO Number: 4310000371 Dated: 23/07/2024</t>
  </si>
  <si>
    <r>
      <rPr>
        <b/>
        <sz val="10"/>
        <color rgb="FF000000"/>
        <rFont val="Arial"/>
        <family val="2"/>
      </rPr>
      <t xml:space="preserve">123/24-25
</t>
    </r>
    <r>
      <rPr>
        <sz val="10"/>
        <color rgb="FF000000"/>
        <rFont val="Arial"/>
        <family val="2"/>
      </rPr>
      <t>02/08/24</t>
    </r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</si>
  <si>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1Year</t>
    </r>
  </si>
  <si>
    <t>2,44,959</t>
  </si>
  <si>
    <t>12.09.2024 to 11.03.2025</t>
  </si>
  <si>
    <t>PO Number: ITC/Bio-CAMC/Vol.III Dated: 12/09/2022</t>
  </si>
  <si>
    <r>
      <rPr>
        <b/>
        <sz val="10"/>
        <color rgb="FF000000"/>
        <rFont val="Arial"/>
        <family val="2"/>
      </rPr>
      <t xml:space="preserve">116/24-25
</t>
    </r>
    <r>
      <rPr>
        <sz val="10"/>
        <color rgb="FF000000"/>
        <rFont val="Arial"/>
        <family val="2"/>
      </rPr>
      <t>29/07/24</t>
    </r>
  </si>
  <si>
    <t>1,22,479.35</t>
  </si>
  <si>
    <t>12.09.24 to 11.12.24 Raise Inv in Dec After PM</t>
  </si>
  <si>
    <t>12.12.24 to 11.03.25 Raise Inv in Mar after PM</t>
  </si>
  <si>
    <r>
      <rPr>
        <sz val="10"/>
        <color rgb="FF000000"/>
        <rFont val="Arial"/>
        <family val="2"/>
      </rPr>
      <t>Payment Mode:</t>
    </r>
    <r>
      <rPr>
        <sz val="10"/>
        <color rgb="FFFF0000"/>
        <rFont val="Arial"/>
        <family val="2"/>
      </rPr>
      <t>End Every of Quarter</t>
    </r>
  </si>
  <si>
    <t>28.09.2021 to
28.10.2027</t>
  </si>
  <si>
    <t xml:space="preserve">2nd PM Report peding due to non-submission of UHF reader's gain report </t>
  </si>
  <si>
    <t>2,16,546.5</t>
  </si>
  <si>
    <t>Raise Inv in Oct after 4th PM</t>
  </si>
  <si>
    <r>
      <rPr>
        <b/>
        <sz val="10"/>
        <color rgb="FF000000"/>
        <rFont val="Arial"/>
        <family val="2"/>
      </rPr>
      <t>286/24-25
05</t>
    </r>
    <r>
      <rPr>
        <sz val="10"/>
        <color rgb="FF000000"/>
        <rFont val="Arial"/>
        <family val="2"/>
      </rPr>
      <t>/03./25</t>
    </r>
  </si>
  <si>
    <t>2,59,855.50</t>
  </si>
  <si>
    <r>
      <rPr>
        <sz val="10"/>
        <color rgb="FF000000"/>
        <rFont val="Arial"/>
        <family val="2"/>
      </rPr>
      <t>Payment Mode:</t>
    </r>
    <r>
      <rPr>
        <sz val="10"/>
        <color rgb="FFFF0000"/>
        <rFont val="Arial"/>
        <family val="2"/>
      </rPr>
      <t>HALF Yearly POST PM</t>
    </r>
  </si>
  <si>
    <t>Ahobila Muttham</t>
  </si>
  <si>
    <t>01.10.2024 to 30.09.2025</t>
  </si>
  <si>
    <t>PO Number: Qref: PLPL/AMC/2024-25/VC/034</t>
  </si>
  <si>
    <t>Trust</t>
  </si>
  <si>
    <r>
      <rPr>
        <sz val="10"/>
        <color rgb="FF000000"/>
        <rFont val="Arial"/>
        <family val="2"/>
      </rPr>
      <t>Payment Mode:</t>
    </r>
    <r>
      <rPr>
        <sz val="10"/>
        <color rgb="FFFF0000"/>
        <rFont val="Arial"/>
        <family val="2"/>
      </rPr>
      <t>Yearly in Advance</t>
    </r>
  </si>
  <si>
    <t>CHPT - AMS
(Keltron)</t>
  </si>
  <si>
    <t>12.06.2024 to 31/10/2024</t>
  </si>
  <si>
    <t>PO Number: CMO/CHPA-BIO-AMS/002 Dated: 12/06/2024</t>
  </si>
  <si>
    <t>Post PM</t>
  </si>
  <si>
    <t>Items Covered: CCTV &amp; ACS</t>
  </si>
  <si>
    <r>
      <rPr>
        <sz val="10"/>
        <color rgb="FF000000"/>
        <rFont val="Arial"/>
        <family val="2"/>
      </rPr>
      <t>Payment Mode:</t>
    </r>
    <r>
      <rPr>
        <sz val="10"/>
        <color rgb="FFFF0000"/>
        <rFont val="Arial"/>
        <family val="2"/>
      </rPr>
      <t>HALF Yearly End</t>
    </r>
  </si>
  <si>
    <t>CHPT - HEP-Old
(Keltron)</t>
  </si>
  <si>
    <t>16.08.2024 to 15.08.2025</t>
  </si>
  <si>
    <t>PO Number: CMO/CPA/HEP/&amp;RFID/010 Dated: 06.10.2022</t>
  </si>
  <si>
    <t>Final Payment 
for the exisiting PO
New Proposal Submitted
in Sept 2024</t>
  </si>
  <si>
    <t>Items Covered: QR &amp; RFID readers ( 37 readers + 2 Nos EI 913 ) ( 2023 to 2024) &amp;  Second Year ( 2023 to 2024)- Software</t>
  </si>
  <si>
    <t>CHPT AMS Upgrade
(Keltron)</t>
  </si>
  <si>
    <t>03/04/2024 to
02/04/2027
(3Years)</t>
  </si>
  <si>
    <t xml:space="preserve">Manpower </t>
  </si>
  <si>
    <t>CMC towards 
Software</t>
  </si>
  <si>
    <t>Items Covered: Software Upgrade, SMS &amp; MANPOWER</t>
  </si>
  <si>
    <t>SMS Gateway</t>
  </si>
  <si>
    <t>TAGROS Chemical India Pvt 
Ltd MM Nagar</t>
  </si>
  <si>
    <t>01.11.2023 to 31.10.2024</t>
  </si>
  <si>
    <t>PO Number: 431000296</t>
  </si>
  <si>
    <t>Raise 2nd Inv in Nov after PM</t>
  </si>
  <si>
    <t>Items Covered: CCTV, PA &amp; ACS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</si>
  <si>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Half Yearly End</t>
    </r>
  </si>
  <si>
    <t>FUTURA</t>
  </si>
  <si>
    <t>ITC KOVAI</t>
  </si>
  <si>
    <t>01.08.2023 to 30.07.2024</t>
  </si>
  <si>
    <t>PO Number: 4509106656 Dated: 05/08/2024</t>
  </si>
  <si>
    <r>
      <rPr>
        <b/>
        <sz val="10"/>
        <color rgb="FF000000"/>
        <rFont val="Arial"/>
        <family val="2"/>
      </rPr>
      <t xml:space="preserve">127/24-25
</t>
    </r>
    <r>
      <rPr>
        <sz val="10"/>
        <color rgb="FF000000"/>
        <rFont val="Arial"/>
        <family val="2"/>
      </rPr>
      <t>06/08/24</t>
    </r>
  </si>
  <si>
    <t>Raise 4th Inv in Nov after PM</t>
  </si>
  <si>
    <t>Items Covered: ACS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</si>
  <si>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Quarterly End</t>
    </r>
  </si>
  <si>
    <t>CHPA - AMS Upgradtion 
(Keltron)
Warrenty Valid till Sept 02 2025</t>
  </si>
  <si>
    <t>PO Number: CMO/CPA-UPAMS/003 Dated: 26.06.2024</t>
  </si>
  <si>
    <t>1,23,363.00</t>
  </si>
  <si>
    <t>Manpower 
Charges x 3 Months</t>
  </si>
  <si>
    <t>1,65,841.00</t>
  </si>
  <si>
    <t>Items Covered: ACS Software Upgradation, Face Reader &amp; SAP
Integration and SMS Gateway. Manpower Support For 2 Years.</t>
  </si>
  <si>
    <r>
      <rPr>
        <sz val="10"/>
        <color rgb="FF000000"/>
        <rFont val="Arial"/>
        <family val="2"/>
      </rPr>
      <t xml:space="preserve">Payment Mode: </t>
    </r>
    <r>
      <rPr>
        <sz val="10"/>
        <color rgb="FFFF0000"/>
        <rFont val="Arial"/>
        <family val="2"/>
      </rPr>
      <t>Manpower Every Quarter in Advance</t>
    </r>
  </si>
  <si>
    <t>TVS SriChakara Ltd
Uttarakhand</t>
  </si>
  <si>
    <t xml:space="preserve">01-04-2023 to
 30-09-2023
</t>
  </si>
  <si>
    <t>PO-No. 1114019644 -  Dated: 18.08.2023</t>
  </si>
  <si>
    <r>
      <rPr>
        <b/>
        <sz val="10"/>
        <color rgb="FF000000"/>
        <rFont val="Arial"/>
        <family val="2"/>
      </rPr>
      <t xml:space="preserve">170/24-25
</t>
    </r>
    <r>
      <rPr>
        <sz val="10"/>
        <color rgb="FF000000"/>
        <rFont val="Arial"/>
        <family val="2"/>
      </rPr>
      <t>08/10/24</t>
    </r>
  </si>
  <si>
    <t>AMC for Access &amp; Attendance - Products - UKD</t>
  </si>
  <si>
    <t xml:space="preserve">Payment Mode: </t>
  </si>
  <si>
    <t>EXISTING CCTV SYSTEM</t>
  </si>
  <si>
    <t xml:space="preserve">SNO </t>
  </si>
  <si>
    <t>ITEM DESCRIPTION</t>
  </si>
  <si>
    <t>QTY</t>
  </si>
  <si>
    <t>CP PLUS IP BULLET CAMERA</t>
  </si>
  <si>
    <t>CP PLUS 16 Ch NVR</t>
  </si>
  <si>
    <t>24P GB Switch - SRW 2024P</t>
  </si>
  <si>
    <t>4TB Surveillance HDD</t>
  </si>
  <si>
    <t>INTRUSION ALARM SYSTEM</t>
  </si>
  <si>
    <t xml:space="preserve">Instruion Controller </t>
  </si>
  <si>
    <t>Beam Sensor Receiver</t>
  </si>
  <si>
    <t>Beam sensor Transmitter</t>
  </si>
  <si>
    <t>NEW CCTV SYSTEM</t>
  </si>
  <si>
    <t>CP Plus 2MP IP bullet camera CP-UNC-TA21PL3</t>
  </si>
  <si>
    <t>CP Plus 2MP IP Dome Camera CP-UNC-DA21PL3</t>
  </si>
  <si>
    <t>CP Plus 4MP IP Bullet camera model CP-UNC-TA41PL3</t>
  </si>
  <si>
    <t>8 TB Surveillance Hard Disk - WD</t>
  </si>
  <si>
    <t>12V 5Amps Power Adaptor (3NOS)</t>
  </si>
  <si>
    <t>D-Link 8 Port Non-Poe Switch</t>
  </si>
  <si>
    <t>4*4 Model Box Dome Stand</t>
  </si>
  <si>
    <t xml:space="preserve">Engineers visit for checking system and hard disk swapping </t>
  </si>
  <si>
    <t>S No</t>
  </si>
  <si>
    <t>Item Description</t>
  </si>
  <si>
    <t xml:space="preserve">QTY </t>
  </si>
  <si>
    <t xml:space="preserve">EI 653 Reader </t>
  </si>
  <si>
    <t xml:space="preserve">EI 913 Personalization Reader </t>
  </si>
  <si>
    <t>EM Lock with U bracket</t>
  </si>
  <si>
    <t>Power Adaptor</t>
  </si>
  <si>
    <t>Smax V2 Access Software</t>
  </si>
  <si>
    <t xml:space="preserve"> Egres Switch</t>
  </si>
  <si>
    <t xml:space="preserve"> EDR - Emergency Door Release</t>
  </si>
  <si>
    <t>SNO</t>
  </si>
  <si>
    <t>ITEMS</t>
  </si>
  <si>
    <t>UNDER WARRANTY 
EQUIPMENT 
QTY</t>
  </si>
  <si>
    <t>AMC 
REQUIRED 
EQUIPMENT QTY</t>
  </si>
  <si>
    <t>EI 816/653/653B/IP 65 CLSC Reader</t>
  </si>
  <si>
    <t xml:space="preserve">SMAX Adv License </t>
  </si>
  <si>
    <t>EM LOCK SINGLE DOOR</t>
  </si>
  <si>
    <t>EM LOCK DOUBLE DOOR</t>
  </si>
  <si>
    <t>EXIST SWITCH</t>
  </si>
  <si>
    <t>EDR</t>
  </si>
  <si>
    <t>Half Height Tripod</t>
  </si>
  <si>
    <t>DFMD</t>
  </si>
  <si>
    <t>3.5/5 meter boom barrier</t>
  </si>
  <si>
    <t>1.5 meter boom barrier</t>
  </si>
  <si>
    <t>6 meter boom barrier</t>
  </si>
  <si>
    <t>ANPR Controller Set</t>
  </si>
  <si>
    <t>ANPR Display board / light</t>
  </si>
  <si>
    <t>2KVA UPS</t>
  </si>
  <si>
    <t xml:space="preserve">DELL Desktop </t>
  </si>
  <si>
    <t>Boom Barrier Remote Control</t>
  </si>
  <si>
    <t>Swing Barrier</t>
  </si>
  <si>
    <t>Facer Reader F2</t>
  </si>
  <si>
    <t>Facer Reader Software</t>
  </si>
  <si>
    <t>EI 816 IP 65</t>
  </si>
  <si>
    <t>HHMD</t>
  </si>
  <si>
    <t xml:space="preserve">Tripod Tower Lamp / Stand </t>
  </si>
  <si>
    <t>Morpho Wave Compact</t>
  </si>
  <si>
    <t>Tower Light</t>
  </si>
  <si>
    <t>14V 3 Amp PA</t>
  </si>
  <si>
    <t>SS Stand</t>
  </si>
  <si>
    <t>Canteen Software</t>
  </si>
  <si>
    <t xml:space="preserve">20 K Add On License </t>
  </si>
  <si>
    <t>ITEM DESCRIPTION - CMS</t>
  </si>
  <si>
    <t>Morpho wave compact touchless reader</t>
  </si>
  <si>
    <t>Tower light customised to Morpho reader</t>
  </si>
  <si>
    <t xml:space="preserve">14V 3AMPS DC Power adaptor </t>
  </si>
  <si>
    <t>SS Stand with all accessories</t>
  </si>
  <si>
    <t xml:space="preserve">Cnateen Management software </t>
  </si>
  <si>
    <t>ITEM DESCRIPTION - AMS</t>
  </si>
  <si>
    <t>Morpho wave compact reader - Wave SP MD Touchless Reader</t>
  </si>
  <si>
    <t>PO-EN-14 TICEL BIOPARK</t>
  </si>
  <si>
    <t xml:space="preserve">Item Description </t>
  </si>
  <si>
    <t>Non - Comprehensive Annual Maintenance for Biometric Effective from 1st April 2024 to 31st March 2025 (12- months)
1. EI 843 Bio Attendance Reader - EL make - 4 No's
2. EI 816 - 10 No's
3. EM LOCK - 8 No's
4. Power Adopter 12 V 3 Amp - 12 No's
5. Smax Software - Web based - 1 No
6. EI 914 Personalization Reader - 1 No
7. Exit Switch - 5 No's</t>
  </si>
  <si>
    <t>PO-EN-13 Nellai / Tirunelveli</t>
  </si>
  <si>
    <t xml:space="preserve">Non - Comprehensive Annual Maintenance for Biometric Effective from 1st April 2024 to 31st March 2025 (12- months)
1. EI 843 Bio Attendance Reader - EL make - 2 No's
2. EI 816 - 4 No's
3. EM LOCK - 3 No's
4. Power Adopter 12 V 3 Amp - 5 No's
5. SmaxAdv Customised Software license - 1 No
6. EI 914 Personalization Reader - 1 No
</t>
  </si>
  <si>
    <t>PO-EN-12 Vellore</t>
  </si>
  <si>
    <t>Non - Comprehensive Annual Maintenance for Biometric Effective from 1st April 2024 to 31st March 2025 (12- months)
1. EI 843 Bio Attendance Reader - EL make - 2 No's
2. EI 816 - 9 No's
3. EM LOCK - 5 No's
4. Power Adopter 12 V 3 Amp - 7 No's
5. SmaxAdv Customised Software license - 1 No
6. EI 914 Personalization Reader - 1 No
7. Exit Switch - 1 No</t>
  </si>
  <si>
    <t>Optical Smoke Detector</t>
  </si>
  <si>
    <t>2 Wire Plugs in base conventional</t>
  </si>
  <si>
    <t xml:space="preserve"> Red Conventional call point with LED &amp; Resister</t>
  </si>
  <si>
    <t>Call Point Surface Box</t>
  </si>
  <si>
    <t>Piezo Sounder Red (Hooter)</t>
  </si>
  <si>
    <t>Sounder, ABS housing. (24V) (Hooter)</t>
  </si>
  <si>
    <t xml:space="preserve"> 4 Zone Control Panle (AMC)</t>
  </si>
  <si>
    <t>S. No.</t>
  </si>
  <si>
    <t>24 Port Unloaded Patch Panel (AMP)</t>
  </si>
  <si>
    <t>Supply of HIK IP Bullet Camera 4/6mm</t>
  </si>
  <si>
    <t>Supply of HIK 32Ch NVR - 7632NI-E2</t>
  </si>
  <si>
    <t>Net-gear 24port POE Switch-GS724TP</t>
  </si>
  <si>
    <t>WD 4TB Surveillance Hard Disk</t>
  </si>
  <si>
    <t>Supply of HIK IP Dome Camera 2.8mm</t>
  </si>
  <si>
    <t>MPP 112 ss 304 With Drop ARM</t>
  </si>
  <si>
    <t>MPS 122 Swing Barrier with Glass</t>
  </si>
  <si>
    <t>Exit Switch</t>
  </si>
  <si>
    <t>EI653 TCP/IP Out Reader</t>
  </si>
  <si>
    <t>EI816 TCP/IP Reader</t>
  </si>
  <si>
    <t>14V 3Amps Power Adaptor</t>
  </si>
  <si>
    <t>EI913 Personalization Reader</t>
  </si>
  <si>
    <t xml:space="preserve">EM Lock with "U" Bracket </t>
  </si>
  <si>
    <t xml:space="preserve">Access Control Software </t>
  </si>
  <si>
    <t xml:space="preserve">S No </t>
  </si>
  <si>
    <t>EI 653 Bio Reader</t>
  </si>
  <si>
    <t>Power Adaptor 12/14/24V 3/5 Amps</t>
  </si>
  <si>
    <t>EI 816 Kiosk Reader</t>
  </si>
  <si>
    <t>Atrak AMS System</t>
  </si>
  <si>
    <t>Smax Adv - Reader Confirguration Software
with access</t>
  </si>
  <si>
    <t>S.No</t>
  </si>
  <si>
    <t>ATRAK - Attendance, Shift
&amp; Leave Manage</t>
  </si>
  <si>
    <t>Mobile Application</t>
  </si>
  <si>
    <t>Share Resource</t>
  </si>
  <si>
    <t>Description</t>
  </si>
  <si>
    <t>FAS SYSTEM CAMC</t>
  </si>
  <si>
    <t>S. No</t>
  </si>
  <si>
    <t>Product Description</t>
  </si>
  <si>
    <t>Year of Installation</t>
  </si>
  <si>
    <t>GST Addressable Fire Alarm Panel
with Single Loop Card</t>
  </si>
  <si>
    <t>Optical Smoke Detector with base (28)</t>
  </si>
  <si>
    <t>Heat Detector with base</t>
  </si>
  <si>
    <t>10.02.2022</t>
  </si>
  <si>
    <t>Semi Flush Mounting Re-settable (MCP)</t>
  </si>
  <si>
    <t>Base Mounted Isolator</t>
  </si>
  <si>
    <t>Addressable Combined Sounder &amp;
Storbe</t>
  </si>
  <si>
    <t>Response Indicator</t>
  </si>
  <si>
    <t>RS 485 Loop Card</t>
  </si>
  <si>
    <t>RS 232 Communication Card</t>
  </si>
  <si>
    <t>Warranty</t>
  </si>
  <si>
    <t>Qty</t>
  </si>
  <si>
    <t>Hikvision Normal Dome Camera 500 TVL</t>
  </si>
  <si>
    <t>No</t>
  </si>
  <si>
    <t>Hikvision Sony IR Bullet Camera 650 TVL</t>
  </si>
  <si>
    <t>Hikvision Sony Box Camera 700</t>
  </si>
  <si>
    <t>TVL with Lens 5-15mm</t>
  </si>
  <si>
    <t>Hikvision Sony IR Dome camera 540 TVL</t>
  </si>
  <si>
    <t>Hikvision IR Bullet Camera 600 TVL</t>
  </si>
  <si>
    <t>Hikvision IP Bullet Camera -3mg 4mm</t>
  </si>
  <si>
    <t>Hikvision IP Bullet Camera -1.3mg</t>
  </si>
  <si>
    <t>(12mm,6mm,4mm)</t>
  </si>
  <si>
    <t>Hikvision IP Bullet Camera -1.3mg 4/6mm</t>
  </si>
  <si>
    <t>Hikvision IP Dome Camera -1.3mg 2.8mm</t>
  </si>
  <si>
    <t>16 Ch -DVR</t>
  </si>
  <si>
    <t>16 Ch POE NVR</t>
  </si>
  <si>
    <t>2014/2015</t>
  </si>
  <si>
    <t>2TB Hard Disk</t>
  </si>
  <si>
    <t>24Port POE Switch</t>
  </si>
  <si>
    <t>Netgear 8 Port POE Gigabyte Switch</t>
  </si>
  <si>
    <t>4TB Surveillance Hard Disk</t>
  </si>
  <si>
    <t>Smps 12V/ 2 Amps</t>
  </si>
  <si>
    <t>Smps 12V/5 Amps</t>
  </si>
  <si>
    <t>-</t>
  </si>
  <si>
    <t>Hik IP Bullet/Dome Camera - 2.8mm/4mm</t>
  </si>
  <si>
    <t>Hik 16Ch NVR DS-7616-NI-E2</t>
  </si>
  <si>
    <t>WD 4 TB Hard Disk</t>
  </si>
  <si>
    <t>Netgear 24Port POE Switch</t>
  </si>
  <si>
    <t>Hik 16 Ch NVR</t>
  </si>
  <si>
    <t>Hik IP Bullet Camera 1.3mg 4mm</t>
  </si>
  <si>
    <t>Hik IP Dome Camera 1.3mg 2.8mm</t>
  </si>
  <si>
    <t>4 TB Hard Disk</t>
  </si>
  <si>
    <r>
      <rPr>
        <b/>
        <sz val="10"/>
        <color theme="1"/>
        <rFont val="Cambria"/>
        <family val="1"/>
      </rPr>
      <t>MD</t>
    </r>
    <r>
      <rPr>
        <sz val="10"/>
        <color theme="1"/>
        <rFont val="Cambria"/>
        <family val="1"/>
      </rPr>
      <t xml:space="preserve"> </t>
    </r>
    <r>
      <rPr>
        <b/>
        <sz val="10"/>
        <color theme="1"/>
        <rFont val="Cambria"/>
        <family val="1"/>
      </rPr>
      <t>(MR. R.V. CHARI) – RESIDENCE- CCTV</t>
    </r>
  </si>
  <si>
    <t>NO</t>
  </si>
  <si>
    <t>Hikvision IP Dome Camera -1.3mg, 2.8mm</t>
  </si>
  <si>
    <t>Hikvision 16Ch NVR</t>
  </si>
  <si>
    <t>Camera Housing with Stand</t>
  </si>
  <si>
    <t>2016-2017</t>
  </si>
  <si>
    <t>1KVA UPS</t>
  </si>
  <si>
    <t>Location: Vepery</t>
  </si>
  <si>
    <t>Sr. No.</t>
  </si>
  <si>
    <t>Qty.</t>
  </si>
  <si>
    <t>EI 816</t>
  </si>
  <si>
    <t>EI 843 Bio</t>
  </si>
  <si>
    <t>EI 914</t>
  </si>
  <si>
    <t>EM Lock</t>
  </si>
  <si>
    <t>Smax Adv Server</t>
  </si>
  <si>
    <t>Location: Velachery</t>
  </si>
  <si>
    <t>East Wing Qty.</t>
  </si>
  <si>
    <t>West Wing Qty.</t>
  </si>
  <si>
    <t xml:space="preserve">           Location: Vellore</t>
  </si>
  <si>
    <t xml:space="preserve">           </t>
  </si>
  <si>
    <t>Location: Baroda</t>
  </si>
  <si>
    <t>LED Tower Light</t>
  </si>
  <si>
    <t>ATRAK – Attendance Management Software AMC Charges</t>
  </si>
  <si>
    <t>Supply of IP Bullet Camera 4MP, 4mm, 30m Model No: DS-22CD3043G0-I</t>
  </si>
  <si>
    <t>Supply of IP Dome Camera 4MP, 2mm, 20m Model No: DS-2CD2120F</t>
  </si>
  <si>
    <t>Supply of IP Bullet Camera 4Mp,4mm 60m Model No: DS-2CD3043G0-I</t>
  </si>
  <si>
    <t>Hikvision 32Ch NVR with 2 Sata DS-7632NI-I2</t>
  </si>
  <si>
    <t>6TB Surveillance Hard Disk-Segate</t>
  </si>
  <si>
    <t>Supply of Netgear 24Port POE Switch Model No: GS724 TP</t>
  </si>
  <si>
    <t>8 Port Gigabyte Switch-Dlink/Netgear- Non POE</t>
  </si>
  <si>
    <t>2 feet wall mounted L clamp -MS with powder coating for perimeter cameras</t>
  </si>
  <si>
    <t xml:space="preserve">PVC Box 4*4 </t>
  </si>
  <si>
    <t>Supply of LG 49inch Commercial monitor 49SE3KE 18/7 operation</t>
  </si>
  <si>
    <t>Video Recorder Server &amp;DS-7616NO-Q2</t>
  </si>
  <si>
    <t>Rack mountable #16 Port  Model DGS-F1018P-E</t>
  </si>
  <si>
    <t xml:space="preserve"> 4 pair Cat6 RJ 45 Jack panel</t>
  </si>
  <si>
    <t>CAT 6 RJ 45 2 nos outlet with suitable size of GI/PVC box cover plate amd 1 meter patch cord</t>
  </si>
  <si>
    <t xml:space="preserve"> RJ 45 JACK</t>
  </si>
  <si>
    <t>4TB HDD-Segate ( ST4 0004X007)</t>
  </si>
  <si>
    <t xml:space="preserve"> IP Dome 4MP </t>
  </si>
  <si>
    <t>Indoor Bullet 2MP IP with IR Camera-20 m (DS-2CD201PF-I , DS-2CD2010F-I,DS-2CD202WF-I,DS-2CD1023G0E-I ,DS-2CD201PF-I )</t>
  </si>
  <si>
    <t>Video Recorder Server &amp; DS -7616NI-Q2</t>
  </si>
  <si>
    <t>Netgear 24 Port GIGA POE Prosafe GS728TP</t>
  </si>
  <si>
    <t>4*4 Module Box with accessories</t>
  </si>
  <si>
    <t>Dome Stand</t>
  </si>
  <si>
    <t>PO 0911</t>
  </si>
  <si>
    <t>Velachery</t>
  </si>
  <si>
    <t>Sno</t>
  </si>
  <si>
    <t>Quantity</t>
  </si>
  <si>
    <t>SUPPLY</t>
  </si>
  <si>
    <t>INSTALLATION</t>
  </si>
  <si>
    <t>AMT</t>
  </si>
  <si>
    <t>2MP Full HD Bullet Camera</t>
  </si>
  <si>
    <t>32 Channel NVR with 4 SATA HDD provision</t>
  </si>
  <si>
    <t>9 U Rack with Accessories</t>
  </si>
  <si>
    <t>8TB Survellance HDD - HIK VISION</t>
  </si>
  <si>
    <t>Addresable heat detector with base</t>
  </si>
  <si>
    <t>MPC Addresable</t>
  </si>
  <si>
    <t>Junction Box for above FS Detectors</t>
  </si>
  <si>
    <t>Sounder with strobe - Addresable</t>
  </si>
  <si>
    <t>Armoured FRLS Red colour cable 2C X 1.5 Sq.mm</t>
  </si>
  <si>
    <t>PO 1007</t>
  </si>
  <si>
    <t>Vepery</t>
  </si>
  <si>
    <t>EI 816 CLSC reader 16k users, 24k transactions</t>
  </si>
  <si>
    <t>EI 843 CLSC with Bio reader 16k users and 24k transactions</t>
  </si>
  <si>
    <t>14 v 3amp DC power adaptor</t>
  </si>
  <si>
    <t>600LBS Single door EM lock with bracket</t>
  </si>
  <si>
    <t>Tagros Dahej</t>
  </si>
  <si>
    <t>EI 816 CLSC Reader</t>
  </si>
  <si>
    <t>12V DC Power Adaptor</t>
  </si>
  <si>
    <t>Emergency Door Release</t>
  </si>
  <si>
    <t>Electro Magnetic Lock ( Single)</t>
  </si>
  <si>
    <t>TOUCH SCREEN KIOSK</t>
  </si>
  <si>
    <t>BOOM BARRIERS-FAAC B 640STD Boom of 7 mtrs length</t>
  </si>
  <si>
    <t>BOOM BARRIERS-FAAC B 620 Boom of 5 mtrs length</t>
  </si>
  <si>
    <t>ARMO Key Switch Push Button</t>
  </si>
  <si>
    <t>Magnetic Pedestrian Flap Barrier</t>
  </si>
  <si>
    <t>MorphoTouchless hand wave Recognition</t>
  </si>
  <si>
    <t>Morpho Manager Application</t>
  </si>
  <si>
    <t>12V 3Amps DC 
Power Adapter</t>
  </si>
  <si>
    <t>Morpho Sigma</t>
  </si>
  <si>
    <t>Desktop based capturing Device MSO 300</t>
  </si>
  <si>
    <t>Half height Motorized Turnstile</t>
  </si>
  <si>
    <t>Descripton</t>
  </si>
  <si>
    <t>Magnetic Pedestrian Flap Barrier Magnetic MPR 112_2</t>
  </si>
  <si>
    <t xml:space="preserve">MorphoTouchless hand wave Recognition </t>
  </si>
  <si>
    <t>Supply  of Morpho Manager Application</t>
  </si>
  <si>
    <t>Supply of 12V 3Amps DC Power Adaptor</t>
  </si>
  <si>
    <t>MSO 300 Finger</t>
  </si>
  <si>
    <t>Morpho Sigma Lite Reader</t>
  </si>
  <si>
    <t>TATA Communications (BMS)</t>
  </si>
  <si>
    <t>(BMS) Manpower</t>
  </si>
  <si>
    <t>4.11.2025 billing done invoice no 181/25-26</t>
  </si>
  <si>
    <t>Invoice No : 4/25-26 dtd 8.04.2025</t>
  </si>
  <si>
    <t>ok</t>
  </si>
  <si>
    <t>Global Velchery, Veppery, Vadodra,Vellore (CAMC)</t>
  </si>
  <si>
    <t>Tagros - Cuddalore (Hard ware) (CAMC)</t>
  </si>
  <si>
    <t>VITP Private Limited- Capitaland-Hyderabad (CAMC)</t>
  </si>
  <si>
    <t>ROYAL ENFIELD (AMC)</t>
  </si>
  <si>
    <t>KONE Elevator India P.Ltd (CAMC)</t>
  </si>
  <si>
    <t xml:space="preserve"> Invoice No. 192/ 12.11.2025 Billing done</t>
  </si>
  <si>
    <t>15.10.2025 billing done invoice no 154/25-26</t>
  </si>
  <si>
    <t>1.10.2025 to 31.3.2026</t>
  </si>
  <si>
    <t>Po. No. 81032522 dated 25.9.2025</t>
  </si>
  <si>
    <t>28.11.2025 billing done invoice no 198/25-26</t>
  </si>
  <si>
    <t>PO No.1365718475 date 5.8.2025</t>
  </si>
  <si>
    <t>Payment Terms: Monthly Advance</t>
  </si>
  <si>
    <t>4.12.2025 billing done invoice no 204/25-26</t>
  </si>
  <si>
    <t>16.8.2025 to 15.8.2026</t>
  </si>
  <si>
    <t>16.8.2026 to 15.8.2027</t>
  </si>
  <si>
    <t>16.8.22 to 15.8.2023</t>
  </si>
  <si>
    <t>16.8.2023 to 15.8.2024</t>
  </si>
  <si>
    <t>16.8.2024 to 15.8.2025</t>
  </si>
  <si>
    <t>Invoice No. 80/25-26 Dt: 23.7.2025</t>
  </si>
  <si>
    <t>Inv No: 155 date 15.10.2025 credit note same invoice raised for 184/25-26 date 6.11.2025</t>
  </si>
  <si>
    <t>18.12.2025 Billing Done Invoice No:214/25-26</t>
  </si>
  <si>
    <t>19.12.2025 Billing Done Invoice No:215/25-26</t>
  </si>
  <si>
    <t>billing done invoice no 227/25-26 date 2.1.2026</t>
  </si>
  <si>
    <t>billing done invoice no 231/25-26 date 6.1.2026</t>
  </si>
  <si>
    <t>billing done invoice no 232/25-26 date 6.1.2026</t>
  </si>
  <si>
    <t>kalsi buildcon private limited( patna)</t>
  </si>
  <si>
    <t>Dec' 26 to Nov' 27</t>
  </si>
  <si>
    <t>Payment Terms: AMC yearly payment against.</t>
  </si>
  <si>
    <t>Dec' 25 to Nov' 26</t>
  </si>
  <si>
    <t xml:space="preserve"> billing done invoice no 241/25-26 date 3.2.2026</t>
  </si>
  <si>
    <t>kerala state electronics development corportion</t>
  </si>
  <si>
    <t>RFID/QR READER &amp; technical support</t>
  </si>
  <si>
    <t>16.12.2025 to 15.12.2026</t>
  </si>
  <si>
    <t>26.10.2025 to 25.10.2026</t>
  </si>
  <si>
    <t>billing on</t>
  </si>
  <si>
    <t>billing done invoice no 254/25-26, date 27.2.2026</t>
  </si>
  <si>
    <t>REF NO:-812/KBPL/2025-26  DATE 26.11.2025</t>
  </si>
  <si>
    <t>WO no :CMO/CP A-HEP/004 DATE 4.2.2026</t>
  </si>
  <si>
    <t xml:space="preserve"> billing done invoice no 262/25-26 date 2.1.2026</t>
  </si>
  <si>
    <t xml:space="preserve"> billing done invoice no 267/25-26 date 5.3.2026</t>
  </si>
  <si>
    <t>4.12.2025 billing done invoice no 208/25-26/ (invoice no 268/25-26</t>
  </si>
  <si>
    <t>billing done invoice no 275/25-26 date 10.3.2026, invoice no 288/25-26 dt 14.3.2026</t>
  </si>
  <si>
    <t>18.3.2026 billing done invoice no 290/25-26</t>
  </si>
  <si>
    <t>18.3.2026 billing done invoice no 291/25-26</t>
  </si>
  <si>
    <t xml:space="preserve"> billing done invoice no 292/25-26</t>
  </si>
  <si>
    <t xml:space="preserve"> billing done invoice no 293/25-26 date 21.3.2026</t>
  </si>
  <si>
    <t xml:space="preserve"> billing done invoice no 297/25-26 date 25.3.2026</t>
  </si>
  <si>
    <r>
      <t xml:space="preserve">Ticketing QR code system </t>
    </r>
    <r>
      <rPr>
        <sz val="11"/>
        <color theme="1"/>
        <rFont val="Arial"/>
        <family val="2"/>
      </rPr>
      <t>2 year RS 450853</t>
    </r>
  </si>
  <si>
    <t xml:space="preserve"> billing done invoice no 12/26-27 date 9.4.2026</t>
  </si>
  <si>
    <t xml:space="preserve"> billing done invoice no 235/25-26 date 22.1.2026</t>
  </si>
  <si>
    <t>billing done invoice no 249/25-26 date 25.2.2026</t>
  </si>
  <si>
    <t xml:space="preserve">billing done invoice no 250/25-26 date 25.2.2026 </t>
  </si>
  <si>
    <t xml:space="preserve"> billing done invoice no 28/26-27 date 13.5.2026</t>
  </si>
  <si>
    <t>01-04-2026 to 31-03-2027</t>
  </si>
  <si>
    <t xml:space="preserve"> Ref:72080832 Dated: 7.4.2026</t>
  </si>
  <si>
    <t>01-04-2026 to 31-3-2027</t>
  </si>
  <si>
    <t>Ref :0081033455/date 17.4.2026</t>
  </si>
  <si>
    <t xml:space="preserve"> Ref: 4500082300/date 6.4.2026</t>
  </si>
  <si>
    <t xml:space="preserve"> 1-2-2026 to 31-01-2027</t>
  </si>
  <si>
    <t>15.5.2026 to 14.5.2027</t>
  </si>
  <si>
    <t xml:space="preserve"> billing done invoice no 29/26-27 date 18.5.2026</t>
  </si>
  <si>
    <t>CHPT - Face Reader CAMC
GADSEC</t>
  </si>
  <si>
    <t>First year CAMC</t>
  </si>
  <si>
    <t>August 2026 to July 2027</t>
  </si>
  <si>
    <t>Second year CAMC</t>
  </si>
  <si>
    <t>August 2027 to July 2028</t>
  </si>
  <si>
    <t>Gadsec</t>
  </si>
  <si>
    <t>PLPL</t>
  </si>
  <si>
    <t>August 26 to July 27</t>
  </si>
  <si>
    <t>PO Number:CMO/CPA-HEP004 Dt 04.02.2026</t>
  </si>
  <si>
    <t>Item</t>
  </si>
  <si>
    <t>CAMC Charges for HEP</t>
  </si>
  <si>
    <t>CAMC Charges QR &amp; RFID</t>
  </si>
  <si>
    <t>Manpower</t>
  </si>
  <si>
    <t>Unit</t>
  </si>
  <si>
    <t>Total</t>
  </si>
  <si>
    <t>26.10.2025</t>
  </si>
  <si>
    <t>26.01.26</t>
  </si>
  <si>
    <t>26.04.26</t>
  </si>
  <si>
    <t>26.07.26</t>
  </si>
  <si>
    <t>25.10.2026</t>
  </si>
  <si>
    <t>April</t>
  </si>
  <si>
    <t>HEP - Hardware + HEP Software</t>
  </si>
  <si>
    <t>174103 on 16.10.2026</t>
  </si>
  <si>
    <t>PO Number:2222009351 Dt 11.05.2026</t>
  </si>
  <si>
    <t>1-05-2026 to 30-04-2027</t>
  </si>
  <si>
    <t>01.09.2025 to 30.09.2026</t>
  </si>
  <si>
    <t>Ticketing QR code system 2 year RS 450853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</si>
</sst>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??_-;_-@_-"/>
  </numFmts>
  <fonts count="6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5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  <font>
      <sz val="10"/>
      <color rgb="FF000000"/>
      <name val="Cambria"/>
      <family val="1"/>
    </font>
    <font>
      <sz val="9.5"/>
      <color rgb="FF000000"/>
      <name val="Cambria"/>
      <family val="1"/>
    </font>
    <font>
      <sz val="9"/>
      <color rgb="FF000000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rgb="FF00B0F0"/>
      <name val="Arial"/>
      <family val="2"/>
    </font>
    <font>
      <b/>
      <u/>
      <sz val="10"/>
      <color theme="10"/>
      <name val="Arial"/>
      <family val="2"/>
    </font>
    <font>
      <u/>
      <sz val="10"/>
      <color rgb="FF80008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trike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u/>
      <sz val="11"/>
      <color theme="1"/>
      <name val="Arial"/>
      <family val="2"/>
    </font>
    <font>
      <b/>
      <u/>
      <sz val="11"/>
      <color rgb="FFFF0000"/>
      <name val="Arial"/>
      <family val="2"/>
    </font>
    <font>
      <sz val="11"/>
      <color theme="1"/>
      <name val="Cambria"/>
      <family val="1"/>
      <scheme val="major"/>
    </font>
    <font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5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43" fillId="0" borderId="0" applyNumberFormat="0" applyFill="0" applyBorder="0" applyAlignment="0" applyProtection="0"/>
    <xf numFmtId="0" fontId="8" fillId="0" borderId="0"/>
    <xf numFmtId="43" fontId="57" fillId="0" borderId="0" applyFont="0" applyFill="0" applyBorder="0" applyAlignment="0" applyProtection="0"/>
  </cellStyleXfs>
  <cellXfs count="1727">
    <xf numFmtId="0" fontId="0" fillId="0" borderId="0" xfId="0"/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/>
    <xf numFmtId="2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2" xfId="0" applyFont="1" applyBorder="1"/>
    <xf numFmtId="0" fontId="9" fillId="0" borderId="2" xfId="0" applyFont="1" applyBorder="1" applyAlignment="1" applyProtection="1">
      <alignment horizontal="left" vertical="center" wrapText="1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left" wrapText="1"/>
      <protection locked="0"/>
    </xf>
    <xf numFmtId="0" fontId="10" fillId="0" borderId="2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2" xfId="0" applyFont="1" applyBorder="1"/>
    <xf numFmtId="3" fontId="10" fillId="0" borderId="2" xfId="0" applyNumberFormat="1" applyFont="1" applyBorder="1" applyAlignment="1" applyProtection="1">
      <alignment horizontal="center"/>
      <protection locked="0"/>
    </xf>
    <xf numFmtId="0" fontId="11" fillId="0" borderId="2" xfId="0" applyFont="1" applyBorder="1" applyAlignment="1">
      <alignment wrapText="1"/>
    </xf>
    <xf numFmtId="0" fontId="11" fillId="0" borderId="2" xfId="0" applyFont="1" applyBorder="1"/>
    <xf numFmtId="0" fontId="10" fillId="0" borderId="2" xfId="0" applyFont="1" applyBorder="1" applyAlignment="1">
      <alignment wrapText="1"/>
    </xf>
    <xf numFmtId="1" fontId="11" fillId="0" borderId="2" xfId="0" applyNumberFormat="1" applyFont="1" applyBorder="1"/>
    <xf numFmtId="0" fontId="10" fillId="0" borderId="2" xfId="0" applyFont="1" applyBorder="1"/>
    <xf numFmtId="1" fontId="10" fillId="0" borderId="2" xfId="0" applyNumberFormat="1" applyFont="1" applyBorder="1"/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5" fillId="0" borderId="14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indent="2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 indent="2"/>
    </xf>
    <xf numFmtId="0" fontId="18" fillId="0" borderId="4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 indent="5"/>
    </xf>
    <xf numFmtId="0" fontId="19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4" xfId="0" applyFont="1" applyBorder="1" applyAlignment="1">
      <alignment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vertical="center" wrapText="1"/>
    </xf>
    <xf numFmtId="0" fontId="0" fillId="0" borderId="12" xfId="0" applyBorder="1"/>
    <xf numFmtId="0" fontId="20" fillId="0" borderId="9" xfId="0" applyFont="1" applyBorder="1" applyAlignment="1">
      <alignment vertical="center" wrapText="1"/>
    </xf>
    <xf numFmtId="0" fontId="20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0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14" xfId="0" applyFont="1" applyBorder="1" applyAlignment="1">
      <alignment vertical="center"/>
    </xf>
    <xf numFmtId="0" fontId="20" fillId="0" borderId="23" xfId="0" applyFont="1" applyBorder="1" applyAlignment="1">
      <alignment horizontal="center" vertical="center" wrapText="1"/>
    </xf>
    <xf numFmtId="0" fontId="20" fillId="0" borderId="12" xfId="0" applyFont="1" applyBorder="1" applyAlignment="1">
      <alignment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3" xfId="0" applyFont="1" applyBorder="1" applyAlignment="1">
      <alignment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26" xfId="0" applyFont="1" applyBorder="1" applyAlignment="1">
      <alignment vertical="center" wrapText="1"/>
    </xf>
    <xf numFmtId="0" fontId="20" fillId="0" borderId="26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6" fillId="0" borderId="7" xfId="0" applyFont="1" applyBorder="1" applyAlignment="1">
      <alignment horizontal="center" vertical="center" wrapText="1"/>
    </xf>
    <xf numFmtId="0" fontId="23" fillId="0" borderId="9" xfId="0" applyFont="1" applyBorder="1" applyAlignment="1">
      <alignment vertical="center" wrapText="1"/>
    </xf>
    <xf numFmtId="0" fontId="23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0" fontId="26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6" fillId="0" borderId="31" xfId="0" applyFont="1" applyBorder="1" applyAlignment="1">
      <alignment horizontal="center"/>
    </xf>
    <xf numFmtId="0" fontId="26" fillId="0" borderId="32" xfId="0" applyFont="1" applyBorder="1" applyAlignment="1">
      <alignment horizontal="center"/>
    </xf>
    <xf numFmtId="0" fontId="26" fillId="0" borderId="33" xfId="0" applyFont="1" applyBorder="1" applyAlignment="1">
      <alignment horizontal="center"/>
    </xf>
    <xf numFmtId="0" fontId="26" fillId="0" borderId="34" xfId="0" applyFont="1" applyBorder="1" applyAlignment="1">
      <alignment horizontal="center"/>
    </xf>
    <xf numFmtId="0" fontId="26" fillId="0" borderId="30" xfId="0" applyFont="1" applyBorder="1"/>
    <xf numFmtId="0" fontId="26" fillId="0" borderId="2" xfId="0" applyFont="1" applyBorder="1"/>
    <xf numFmtId="0" fontId="26" fillId="0" borderId="31" xfId="0" applyFont="1" applyBorder="1"/>
    <xf numFmtId="0" fontId="26" fillId="0" borderId="32" xfId="0" applyFont="1" applyBorder="1"/>
    <xf numFmtId="0" fontId="26" fillId="0" borderId="33" xfId="0" applyFont="1" applyBorder="1"/>
    <xf numFmtId="0" fontId="26" fillId="0" borderId="34" xfId="0" applyFont="1" applyBorder="1"/>
    <xf numFmtId="0" fontId="26" fillId="0" borderId="33" xfId="0" applyFont="1" applyBorder="1" applyAlignment="1">
      <alignment horizontal="left" wrapText="1"/>
    </xf>
    <xf numFmtId="0" fontId="26" fillId="0" borderId="2" xfId="0" applyFont="1" applyBorder="1" applyAlignment="1">
      <alignment wrapText="1"/>
    </xf>
    <xf numFmtId="0" fontId="25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30" fillId="0" borderId="0" xfId="0" applyFont="1" applyAlignment="1">
      <alignment horizontal="right"/>
    </xf>
    <xf numFmtId="0" fontId="30" fillId="0" borderId="0" xfId="0" applyFont="1"/>
    <xf numFmtId="0" fontId="30" fillId="0" borderId="0" xfId="0" applyFont="1" applyAlignment="1">
      <alignment horizontal="left"/>
    </xf>
    <xf numFmtId="165" fontId="30" fillId="0" borderId="0" xfId="0" applyNumberFormat="1" applyFont="1" applyAlignment="1">
      <alignment horizontal="right"/>
    </xf>
    <xf numFmtId="0" fontId="30" fillId="0" borderId="0" xfId="0" applyFont="1" applyAlignment="1">
      <alignment vertical="center"/>
    </xf>
    <xf numFmtId="165" fontId="31" fillId="0" borderId="0" xfId="0" applyNumberFormat="1" applyFont="1" applyAlignment="1">
      <alignment horizontal="right"/>
    </xf>
    <xf numFmtId="0" fontId="32" fillId="2" borderId="2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left" vertical="center"/>
    </xf>
    <xf numFmtId="0" fontId="32" fillId="3" borderId="37" xfId="0" applyFont="1" applyFill="1" applyBorder="1" applyAlignment="1">
      <alignment vertical="center"/>
    </xf>
    <xf numFmtId="0" fontId="32" fillId="3" borderId="37" xfId="0" applyFont="1" applyFill="1" applyBorder="1" applyAlignment="1">
      <alignment horizontal="left" vertical="center"/>
    </xf>
    <xf numFmtId="165" fontId="32" fillId="3" borderId="37" xfId="0" applyNumberFormat="1" applyFont="1" applyFill="1" applyBorder="1" applyAlignment="1">
      <alignment horizontal="right" vertical="center"/>
    </xf>
    <xf numFmtId="0" fontId="32" fillId="3" borderId="37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vertical="center"/>
    </xf>
    <xf numFmtId="0" fontId="30" fillId="0" borderId="2" xfId="0" applyFont="1" applyBorder="1"/>
    <xf numFmtId="0" fontId="34" fillId="0" borderId="2" xfId="1" applyFont="1" applyBorder="1"/>
    <xf numFmtId="0" fontId="33" fillId="4" borderId="2" xfId="1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left" vertical="center" wrapText="1"/>
    </xf>
    <xf numFmtId="0" fontId="30" fillId="0" borderId="2" xfId="0" applyFont="1" applyBorder="1" applyAlignment="1">
      <alignment horizontal="left" vertical="center" wrapText="1"/>
    </xf>
    <xf numFmtId="0" fontId="30" fillId="4" borderId="2" xfId="0" applyFont="1" applyFill="1" applyBorder="1" applyAlignment="1">
      <alignment horizontal="left" vertical="center" wrapText="1"/>
    </xf>
    <xf numFmtId="165" fontId="10" fillId="4" borderId="2" xfId="1" applyNumberFormat="1" applyFont="1" applyFill="1" applyBorder="1" applyAlignment="1">
      <alignment horizontal="right" vertical="center"/>
    </xf>
    <xf numFmtId="0" fontId="34" fillId="4" borderId="2" xfId="1" applyFont="1" applyFill="1" applyBorder="1" applyAlignment="1">
      <alignment horizontal="center" vertical="center"/>
    </xf>
    <xf numFmtId="0" fontId="30" fillId="0" borderId="2" xfId="0" applyFont="1" applyBorder="1" applyAlignment="1">
      <alignment wrapText="1"/>
    </xf>
    <xf numFmtId="165" fontId="30" fillId="0" borderId="2" xfId="0" applyNumberFormat="1" applyFont="1" applyBorder="1" applyAlignment="1">
      <alignment horizontal="right" vertical="center"/>
    </xf>
    <xf numFmtId="43" fontId="34" fillId="4" borderId="2" xfId="1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right"/>
    </xf>
    <xf numFmtId="43" fontId="36" fillId="4" borderId="2" xfId="0" applyNumberFormat="1" applyFont="1" applyFill="1" applyBorder="1" applyAlignment="1">
      <alignment horizontal="left" vertical="center" wrapText="1"/>
    </xf>
    <xf numFmtId="0" fontId="34" fillId="4" borderId="2" xfId="1" applyFont="1" applyFill="1" applyBorder="1" applyAlignment="1">
      <alignment vertical="center"/>
    </xf>
    <xf numFmtId="0" fontId="30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horizontal="right" vertical="center"/>
    </xf>
    <xf numFmtId="14" fontId="10" fillId="4" borderId="2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vertical="top" wrapText="1"/>
    </xf>
    <xf numFmtId="43" fontId="30" fillId="4" borderId="2" xfId="0" applyNumberFormat="1" applyFont="1" applyFill="1" applyBorder="1" applyAlignment="1">
      <alignment horizontal="left" vertical="center" wrapText="1"/>
    </xf>
    <xf numFmtId="0" fontId="32" fillId="3" borderId="41" xfId="0" applyFont="1" applyFill="1" applyBorder="1" applyAlignment="1">
      <alignment vertical="center"/>
    </xf>
    <xf numFmtId="0" fontId="39" fillId="6" borderId="2" xfId="0" applyFont="1" applyFill="1" applyBorder="1" applyAlignment="1">
      <alignment horizontal="left" vertical="center" wrapText="1"/>
    </xf>
    <xf numFmtId="0" fontId="33" fillId="0" borderId="2" xfId="0" applyFont="1" applyBorder="1"/>
    <xf numFmtId="0" fontId="30" fillId="0" borderId="2" xfId="0" applyFont="1" applyBorder="1" applyAlignment="1">
      <alignment horizontal="center" vertical="center"/>
    </xf>
    <xf numFmtId="0" fontId="30" fillId="0" borderId="37" xfId="0" applyFont="1" applyBorder="1"/>
    <xf numFmtId="0" fontId="30" fillId="0" borderId="28" xfId="0" applyFont="1" applyBorder="1"/>
    <xf numFmtId="165" fontId="10" fillId="0" borderId="28" xfId="0" applyNumberFormat="1" applyFont="1" applyBorder="1" applyAlignment="1">
      <alignment horizontal="right"/>
    </xf>
    <xf numFmtId="0" fontId="30" fillId="0" borderId="33" xfId="0" applyFont="1" applyBorder="1"/>
    <xf numFmtId="165" fontId="10" fillId="0" borderId="33" xfId="0" applyNumberFormat="1" applyFont="1" applyBorder="1" applyAlignment="1">
      <alignment horizontal="right"/>
    </xf>
    <xf numFmtId="0" fontId="30" fillId="0" borderId="1" xfId="0" applyFont="1" applyBorder="1"/>
    <xf numFmtId="165" fontId="10" fillId="0" borderId="1" xfId="0" applyNumberFormat="1" applyFont="1" applyBorder="1" applyAlignment="1">
      <alignment horizontal="right"/>
    </xf>
    <xf numFmtId="165" fontId="30" fillId="0" borderId="2" xfId="0" applyNumberFormat="1" applyFont="1" applyBorder="1" applyAlignment="1">
      <alignment horizontal="right"/>
    </xf>
    <xf numFmtId="0" fontId="30" fillId="0" borderId="2" xfId="0" applyFont="1" applyBorder="1" applyAlignment="1">
      <alignment vertical="center" wrapText="1"/>
    </xf>
    <xf numFmtId="4" fontId="39" fillId="6" borderId="2" xfId="0" applyNumberFormat="1" applyFont="1" applyFill="1" applyBorder="1"/>
    <xf numFmtId="43" fontId="30" fillId="0" borderId="2" xfId="0" applyNumberFormat="1" applyFont="1" applyBorder="1"/>
    <xf numFmtId="0" fontId="30" fillId="0" borderId="54" xfId="0" applyFont="1" applyBorder="1"/>
    <xf numFmtId="0" fontId="30" fillId="0" borderId="55" xfId="0" applyFont="1" applyBorder="1"/>
    <xf numFmtId="0" fontId="30" fillId="0" borderId="56" xfId="0" applyFont="1" applyBorder="1"/>
    <xf numFmtId="0" fontId="30" fillId="0" borderId="58" xfId="0" applyFont="1" applyBorder="1"/>
    <xf numFmtId="0" fontId="30" fillId="0" borderId="60" xfId="0" applyFont="1" applyBorder="1"/>
    <xf numFmtId="0" fontId="40" fillId="0" borderId="2" xfId="0" applyFont="1" applyBorder="1"/>
    <xf numFmtId="4" fontId="35" fillId="6" borderId="49" xfId="0" applyNumberFormat="1" applyFont="1" applyFill="1" applyBorder="1" applyAlignment="1">
      <alignment vertical="center" wrapText="1"/>
    </xf>
    <xf numFmtId="4" fontId="35" fillId="6" borderId="50" xfId="0" applyNumberFormat="1" applyFont="1" applyFill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4" fontId="35" fillId="6" borderId="38" xfId="0" applyNumberFormat="1" applyFont="1" applyFill="1" applyBorder="1" applyAlignment="1">
      <alignment vertical="center" wrapText="1"/>
    </xf>
    <xf numFmtId="0" fontId="30" fillId="0" borderId="46" xfId="0" applyFont="1" applyBorder="1" applyAlignment="1">
      <alignment vertical="center" wrapText="1"/>
    </xf>
    <xf numFmtId="0" fontId="30" fillId="0" borderId="31" xfId="0" applyFont="1" applyBorder="1"/>
    <xf numFmtId="0" fontId="30" fillId="0" borderId="34" xfId="0" applyFont="1" applyBorder="1"/>
    <xf numFmtId="0" fontId="30" fillId="0" borderId="29" xfId="0" applyFont="1" applyBorder="1"/>
    <xf numFmtId="0" fontId="30" fillId="0" borderId="38" xfId="0" applyFont="1" applyBorder="1" applyAlignment="1">
      <alignment vertical="center"/>
    </xf>
    <xf numFmtId="0" fontId="42" fillId="0" borderId="37" xfId="0" applyFont="1" applyBorder="1" applyAlignment="1">
      <alignment vertical="center" wrapText="1"/>
    </xf>
    <xf numFmtId="0" fontId="42" fillId="0" borderId="38" xfId="0" applyFont="1" applyBorder="1" applyAlignment="1">
      <alignment vertical="center"/>
    </xf>
    <xf numFmtId="0" fontId="30" fillId="0" borderId="1" xfId="0" applyFont="1" applyBorder="1" applyAlignment="1">
      <alignment vertical="center"/>
    </xf>
    <xf numFmtId="0" fontId="34" fillId="0" borderId="2" xfId="1" quotePrefix="1" applyFont="1" applyBorder="1"/>
    <xf numFmtId="0" fontId="38" fillId="0" borderId="2" xfId="1" quotePrefix="1" applyFont="1" applyBorder="1" applyAlignment="1">
      <alignment horizontal="left" vertical="center"/>
    </xf>
    <xf numFmtId="0" fontId="38" fillId="0" borderId="2" xfId="1" quotePrefix="1" applyFont="1" applyBorder="1" applyAlignment="1">
      <alignment horizontal="left"/>
    </xf>
    <xf numFmtId="0" fontId="45" fillId="2" borderId="2" xfId="0" applyFont="1" applyFill="1" applyBorder="1" applyAlignment="1">
      <alignment horizontal="center" vertical="center"/>
    </xf>
    <xf numFmtId="0" fontId="45" fillId="2" borderId="2" xfId="0" applyFont="1" applyFill="1" applyBorder="1" applyAlignment="1">
      <alignment horizontal="left" vertical="center"/>
    </xf>
    <xf numFmtId="17" fontId="45" fillId="2" borderId="2" xfId="0" applyNumberFormat="1" applyFont="1" applyFill="1" applyBorder="1" applyAlignment="1">
      <alignment horizontal="center" vertical="center"/>
    </xf>
    <xf numFmtId="17" fontId="45" fillId="2" borderId="58" xfId="0" applyNumberFormat="1" applyFont="1" applyFill="1" applyBorder="1" applyAlignment="1">
      <alignment horizontal="center" vertical="center"/>
    </xf>
    <xf numFmtId="0" fontId="47" fillId="0" borderId="43" xfId="0" applyFont="1" applyBorder="1"/>
    <xf numFmtId="0" fontId="47" fillId="0" borderId="0" xfId="0" applyFont="1"/>
    <xf numFmtId="0" fontId="45" fillId="3" borderId="37" xfId="0" applyFont="1" applyFill="1" applyBorder="1" applyAlignment="1">
      <alignment vertical="center"/>
    </xf>
    <xf numFmtId="0" fontId="45" fillId="3" borderId="37" xfId="0" applyFont="1" applyFill="1" applyBorder="1" applyAlignment="1">
      <alignment horizontal="left" vertical="center"/>
    </xf>
    <xf numFmtId="17" fontId="45" fillId="2" borderId="37" xfId="0" applyNumberFormat="1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center" vertical="center"/>
    </xf>
    <xf numFmtId="0" fontId="45" fillId="3" borderId="41" xfId="0" applyFont="1" applyFill="1" applyBorder="1" applyAlignment="1">
      <alignment vertical="center"/>
    </xf>
    <xf numFmtId="0" fontId="45" fillId="3" borderId="0" xfId="0" applyFont="1" applyFill="1" applyAlignment="1">
      <alignment vertical="center"/>
    </xf>
    <xf numFmtId="0" fontId="46" fillId="0" borderId="66" xfId="0" applyFont="1" applyBorder="1"/>
    <xf numFmtId="0" fontId="46" fillId="6" borderId="66" xfId="0" applyFont="1" applyFill="1" applyBorder="1" applyAlignment="1">
      <alignment horizontal="center"/>
    </xf>
    <xf numFmtId="0" fontId="47" fillId="0" borderId="66" xfId="0" applyFont="1" applyBorder="1"/>
    <xf numFmtId="14" fontId="47" fillId="0" borderId="80" xfId="0" applyNumberFormat="1" applyFont="1" applyBorder="1" applyAlignment="1">
      <alignment horizontal="center" vertical="center" wrapText="1"/>
    </xf>
    <xf numFmtId="3" fontId="48" fillId="0" borderId="81" xfId="0" quotePrefix="1" applyNumberFormat="1" applyFont="1" applyBorder="1" applyAlignment="1">
      <alignment horizontal="center" vertical="center" wrapText="1"/>
    </xf>
    <xf numFmtId="0" fontId="47" fillId="0" borderId="81" xfId="0" applyFont="1" applyBorder="1"/>
    <xf numFmtId="165" fontId="48" fillId="0" borderId="81" xfId="1" applyNumberFormat="1" applyFont="1" applyFill="1" applyBorder="1" applyAlignment="1">
      <alignment vertical="center"/>
    </xf>
    <xf numFmtId="165" fontId="50" fillId="8" borderId="81" xfId="1" applyNumberFormat="1" applyFont="1" applyFill="1" applyBorder="1" applyAlignment="1">
      <alignment vertical="center"/>
    </xf>
    <xf numFmtId="0" fontId="50" fillId="0" borderId="81" xfId="1" applyFont="1" applyFill="1" applyBorder="1" applyAlignment="1">
      <alignment vertical="center"/>
    </xf>
    <xf numFmtId="0" fontId="48" fillId="0" borderId="81" xfId="0" applyFont="1" applyBorder="1" applyAlignment="1">
      <alignment horizontal="left" vertical="center" wrapText="1"/>
    </xf>
    <xf numFmtId="0" fontId="50" fillId="0" borderId="80" xfId="1" applyFont="1" applyFill="1" applyBorder="1" applyAlignment="1">
      <alignment vertical="center"/>
    </xf>
    <xf numFmtId="2" fontId="50" fillId="0" borderId="82" xfId="1" applyNumberFormat="1" applyFont="1" applyFill="1" applyBorder="1" applyAlignment="1">
      <alignment vertical="center"/>
    </xf>
    <xf numFmtId="2" fontId="50" fillId="0" borderId="83" xfId="1" applyNumberFormat="1" applyFont="1" applyFill="1" applyBorder="1" applyAlignment="1">
      <alignment vertical="center"/>
    </xf>
    <xf numFmtId="0" fontId="47" fillId="0" borderId="17" xfId="0" applyFont="1" applyBorder="1"/>
    <xf numFmtId="14" fontId="47" fillId="0" borderId="38" xfId="0" applyNumberFormat="1" applyFont="1" applyBorder="1" applyAlignment="1">
      <alignment horizontal="center" vertical="center" wrapText="1"/>
    </xf>
    <xf numFmtId="3" fontId="48" fillId="0" borderId="2" xfId="0" quotePrefix="1" applyNumberFormat="1" applyFont="1" applyBorder="1" applyAlignment="1">
      <alignment horizontal="center" vertical="center" wrapText="1"/>
    </xf>
    <xf numFmtId="0" fontId="47" fillId="0" borderId="2" xfId="0" applyFont="1" applyBorder="1"/>
    <xf numFmtId="165" fontId="48" fillId="0" borderId="2" xfId="1" applyNumberFormat="1" applyFont="1" applyFill="1" applyBorder="1" applyAlignment="1">
      <alignment vertical="center"/>
    </xf>
    <xf numFmtId="0" fontId="50" fillId="8" borderId="2" xfId="1" applyNumberFormat="1" applyFont="1" applyFill="1" applyBorder="1" applyAlignment="1">
      <alignment vertical="center"/>
    </xf>
    <xf numFmtId="0" fontId="50" fillId="0" borderId="2" xfId="1" applyFont="1" applyFill="1" applyBorder="1" applyAlignment="1">
      <alignment vertical="center"/>
    </xf>
    <xf numFmtId="0" fontId="47" fillId="0" borderId="2" xfId="0" applyFont="1" applyBorder="1" applyAlignment="1">
      <alignment horizontal="left" vertical="center" wrapText="1"/>
    </xf>
    <xf numFmtId="0" fontId="50" fillId="0" borderId="38" xfId="1" applyFont="1" applyFill="1" applyBorder="1" applyAlignment="1">
      <alignment vertical="center"/>
    </xf>
    <xf numFmtId="2" fontId="50" fillId="0" borderId="44" xfId="1" applyNumberFormat="1" applyFont="1" applyFill="1" applyBorder="1" applyAlignment="1">
      <alignment vertical="center"/>
    </xf>
    <xf numFmtId="2" fontId="50" fillId="0" borderId="43" xfId="1" applyNumberFormat="1" applyFont="1" applyFill="1" applyBorder="1" applyAlignment="1">
      <alignment vertical="center"/>
    </xf>
    <xf numFmtId="0" fontId="51" fillId="0" borderId="85" xfId="0" applyFont="1" applyBorder="1"/>
    <xf numFmtId="0" fontId="48" fillId="0" borderId="2" xfId="0" applyFont="1" applyBorder="1" applyAlignment="1">
      <alignment horizontal="left" vertical="center" wrapText="1"/>
    </xf>
    <xf numFmtId="0" fontId="47" fillId="0" borderId="86" xfId="0" applyFont="1" applyBorder="1"/>
    <xf numFmtId="3" fontId="48" fillId="0" borderId="37" xfId="0" quotePrefix="1" applyNumberFormat="1" applyFont="1" applyBorder="1" applyAlignment="1">
      <alignment horizontal="center" vertical="center" wrapText="1"/>
    </xf>
    <xf numFmtId="0" fontId="49" fillId="0" borderId="37" xfId="0" applyFont="1" applyBorder="1"/>
    <xf numFmtId="165" fontId="48" fillId="0" borderId="37" xfId="1" applyNumberFormat="1" applyFont="1" applyFill="1" applyBorder="1" applyAlignment="1">
      <alignment vertical="center"/>
    </xf>
    <xf numFmtId="0" fontId="50" fillId="8" borderId="37" xfId="1" applyNumberFormat="1" applyFont="1" applyFill="1" applyBorder="1" applyAlignment="1">
      <alignment vertical="center"/>
    </xf>
    <xf numFmtId="0" fontId="50" fillId="0" borderId="37" xfId="1" applyFont="1" applyFill="1" applyBorder="1" applyAlignment="1">
      <alignment vertical="center"/>
    </xf>
    <xf numFmtId="0" fontId="48" fillId="0" borderId="37" xfId="0" applyFont="1" applyBorder="1" applyAlignment="1">
      <alignment horizontal="left" vertical="center" wrapText="1"/>
    </xf>
    <xf numFmtId="0" fontId="47" fillId="0" borderId="37" xfId="0" applyFont="1" applyBorder="1"/>
    <xf numFmtId="2" fontId="50" fillId="0" borderId="66" xfId="1" applyNumberFormat="1" applyFont="1" applyFill="1" applyBorder="1" applyAlignment="1">
      <alignment vertical="center"/>
    </xf>
    <xf numFmtId="3" fontId="48" fillId="5" borderId="81" xfId="0" quotePrefix="1" applyNumberFormat="1" applyFont="1" applyFill="1" applyBorder="1" applyAlignment="1">
      <alignment horizontal="center" vertical="center" wrapText="1"/>
    </xf>
    <xf numFmtId="165" fontId="48" fillId="0" borderId="81" xfId="1" applyNumberFormat="1" applyFont="1" applyFill="1" applyBorder="1" applyAlignment="1">
      <alignment horizontal="right" vertical="center"/>
    </xf>
    <xf numFmtId="0" fontId="47" fillId="0" borderId="93" xfId="0" applyFont="1" applyBorder="1" applyAlignment="1">
      <alignment horizontal="center" vertical="center" wrapText="1"/>
    </xf>
    <xf numFmtId="0" fontId="50" fillId="0" borderId="83" xfId="1" applyNumberFormat="1" applyFont="1" applyFill="1" applyBorder="1" applyAlignment="1">
      <alignment horizontal="center" vertical="center"/>
    </xf>
    <xf numFmtId="0" fontId="47" fillId="0" borderId="83" xfId="0" applyFont="1" applyBorder="1" applyAlignment="1">
      <alignment horizontal="center" vertical="center" wrapText="1"/>
    </xf>
    <xf numFmtId="165" fontId="50" fillId="8" borderId="94" xfId="1" applyNumberFormat="1" applyFont="1" applyFill="1" applyBorder="1" applyAlignment="1">
      <alignment vertical="center"/>
    </xf>
    <xf numFmtId="0" fontId="50" fillId="5" borderId="81" xfId="1" applyFont="1" applyFill="1" applyBorder="1" applyAlignment="1">
      <alignment horizontal="center" vertical="center"/>
    </xf>
    <xf numFmtId="0" fontId="50" fillId="0" borderId="80" xfId="1" applyFont="1" applyFill="1" applyBorder="1" applyAlignment="1">
      <alignment horizontal="center" vertical="center"/>
    </xf>
    <xf numFmtId="0" fontId="50" fillId="0" borderId="81" xfId="1" applyFont="1" applyFill="1" applyBorder="1" applyAlignment="1">
      <alignment horizontal="center" vertical="center"/>
    </xf>
    <xf numFmtId="165" fontId="50" fillId="8" borderId="95" xfId="1" applyNumberFormat="1" applyFont="1" applyFill="1" applyBorder="1" applyAlignment="1">
      <alignment vertical="center"/>
    </xf>
    <xf numFmtId="2" fontId="50" fillId="0" borderId="80" xfId="1" applyNumberFormat="1" applyFont="1" applyFill="1" applyBorder="1" applyAlignment="1">
      <alignment vertical="center"/>
    </xf>
    <xf numFmtId="3" fontId="48" fillId="5" borderId="2" xfId="0" quotePrefix="1" applyNumberFormat="1" applyFont="1" applyFill="1" applyBorder="1" applyAlignment="1">
      <alignment horizontal="center" vertical="center" wrapText="1"/>
    </xf>
    <xf numFmtId="165" fontId="48" fillId="0" borderId="2" xfId="1" applyNumberFormat="1" applyFont="1" applyFill="1" applyBorder="1" applyAlignment="1">
      <alignment horizontal="right" vertical="center"/>
    </xf>
    <xf numFmtId="0" fontId="47" fillId="0" borderId="45" xfId="0" applyFont="1" applyBorder="1" applyAlignment="1">
      <alignment horizontal="center" vertical="center" wrapText="1"/>
    </xf>
    <xf numFmtId="0" fontId="50" fillId="0" borderId="43" xfId="1" applyNumberFormat="1" applyFont="1" applyFill="1" applyBorder="1" applyAlignment="1">
      <alignment horizontal="center" vertical="center"/>
    </xf>
    <xf numFmtId="0" fontId="47" fillId="0" borderId="43" xfId="0" applyFont="1" applyBorder="1" applyAlignment="1">
      <alignment horizontal="center" vertical="center" wrapText="1"/>
    </xf>
    <xf numFmtId="0" fontId="50" fillId="8" borderId="69" xfId="1" applyNumberFormat="1" applyFont="1" applyFill="1" applyBorder="1" applyAlignment="1">
      <alignment vertical="center"/>
    </xf>
    <xf numFmtId="0" fontId="50" fillId="5" borderId="2" xfId="1" applyFont="1" applyFill="1" applyBorder="1" applyAlignment="1">
      <alignment horizontal="center" vertical="center"/>
    </xf>
    <xf numFmtId="0" fontId="50" fillId="0" borderId="37" xfId="1" applyFont="1" applyFill="1" applyBorder="1" applyAlignment="1">
      <alignment horizontal="center" vertical="center"/>
    </xf>
    <xf numFmtId="0" fontId="50" fillId="0" borderId="2" xfId="1" applyFont="1" applyFill="1" applyBorder="1" applyAlignment="1">
      <alignment horizontal="center" vertical="center"/>
    </xf>
    <xf numFmtId="165" fontId="50" fillId="8" borderId="51" xfId="1" applyNumberFormat="1" applyFont="1" applyFill="1" applyBorder="1" applyAlignment="1">
      <alignment vertical="center"/>
    </xf>
    <xf numFmtId="0" fontId="50" fillId="0" borderId="38" xfId="1" applyFont="1" applyFill="1" applyBorder="1" applyAlignment="1">
      <alignment horizontal="center" vertical="center"/>
    </xf>
    <xf numFmtId="2" fontId="50" fillId="0" borderId="38" xfId="1" applyNumberFormat="1" applyFont="1" applyFill="1" applyBorder="1" applyAlignment="1">
      <alignment vertical="center"/>
    </xf>
    <xf numFmtId="165" fontId="51" fillId="0" borderId="85" xfId="0" applyNumberFormat="1" applyFont="1" applyBorder="1"/>
    <xf numFmtId="0" fontId="50" fillId="8" borderId="52" xfId="1" applyNumberFormat="1" applyFont="1" applyFill="1" applyBorder="1" applyAlignment="1">
      <alignment vertical="center"/>
    </xf>
    <xf numFmtId="0" fontId="47" fillId="0" borderId="19" xfId="0" applyFont="1" applyBorder="1"/>
    <xf numFmtId="0" fontId="49" fillId="0" borderId="66" xfId="0" applyFont="1" applyBorder="1" applyAlignment="1">
      <alignment wrapText="1"/>
    </xf>
    <xf numFmtId="165" fontId="48" fillId="0" borderId="37" xfId="1" applyNumberFormat="1" applyFont="1" applyFill="1" applyBorder="1" applyAlignment="1">
      <alignment horizontal="right" vertical="center"/>
    </xf>
    <xf numFmtId="0" fontId="47" fillId="0" borderId="44" xfId="0" applyFont="1" applyBorder="1" applyAlignment="1">
      <alignment horizontal="center" vertical="center" wrapText="1"/>
    </xf>
    <xf numFmtId="0" fontId="50" fillId="0" borderId="66" xfId="1" applyNumberFormat="1" applyFont="1" applyFill="1" applyBorder="1" applyAlignment="1">
      <alignment horizontal="center" vertical="center"/>
    </xf>
    <xf numFmtId="0" fontId="47" fillId="0" borderId="66" xfId="0" applyFont="1" applyBorder="1" applyAlignment="1">
      <alignment horizontal="center" vertical="center" wrapText="1"/>
    </xf>
    <xf numFmtId="0" fontId="50" fillId="5" borderId="37" xfId="1" applyFont="1" applyFill="1" applyBorder="1" applyAlignment="1">
      <alignment horizontal="center" vertical="center"/>
    </xf>
    <xf numFmtId="0" fontId="49" fillId="0" borderId="80" xfId="0" applyFont="1" applyBorder="1" applyAlignment="1">
      <alignment vertical="center"/>
    </xf>
    <xf numFmtId="0" fontId="48" fillId="0" borderId="81" xfId="0" applyFont="1" applyBorder="1" applyAlignment="1">
      <alignment horizontal="center" vertical="center" wrapText="1"/>
    </xf>
    <xf numFmtId="0" fontId="48" fillId="0" borderId="81" xfId="0" applyFont="1" applyBorder="1" applyAlignment="1">
      <alignment horizontal="center" vertical="center"/>
    </xf>
    <xf numFmtId="0" fontId="47" fillId="0" borderId="93" xfId="0" applyFont="1" applyBorder="1"/>
    <xf numFmtId="2" fontId="50" fillId="0" borderId="100" xfId="1" applyNumberFormat="1" applyFont="1" applyFill="1" applyBorder="1" applyAlignment="1">
      <alignment vertical="center"/>
    </xf>
    <xf numFmtId="0" fontId="47" fillId="0" borderId="101" xfId="0" applyFont="1" applyBorder="1"/>
    <xf numFmtId="0" fontId="49" fillId="0" borderId="38" xfId="0" applyFont="1" applyBorder="1" applyAlignment="1">
      <alignment vertical="center"/>
    </xf>
    <xf numFmtId="0" fontId="52" fillId="0" borderId="2" xfId="1" applyFont="1" applyFill="1" applyBorder="1" applyAlignment="1">
      <alignment horizontal="center" vertical="center"/>
    </xf>
    <xf numFmtId="0" fontId="48" fillId="8" borderId="38" xfId="0" applyFont="1" applyFill="1" applyBorder="1" applyAlignment="1">
      <alignment vertical="center" wrapText="1"/>
    </xf>
    <xf numFmtId="0" fontId="48" fillId="0" borderId="2" xfId="0" applyFont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/>
    </xf>
    <xf numFmtId="0" fontId="50" fillId="8" borderId="38" xfId="1" applyFont="1" applyFill="1" applyBorder="1" applyAlignment="1">
      <alignment vertical="center"/>
    </xf>
    <xf numFmtId="0" fontId="52" fillId="0" borderId="37" xfId="1" applyFont="1" applyFill="1" applyBorder="1" applyAlignment="1">
      <alignment horizontal="center" vertical="center"/>
    </xf>
    <xf numFmtId="165" fontId="49" fillId="0" borderId="38" xfId="0" applyNumberFormat="1" applyFont="1" applyBorder="1" applyAlignment="1">
      <alignment horizontal="right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/>
    </xf>
    <xf numFmtId="0" fontId="47" fillId="0" borderId="58" xfId="0" applyFont="1" applyBorder="1"/>
    <xf numFmtId="0" fontId="47" fillId="0" borderId="83" xfId="0" applyFont="1" applyBorder="1" applyAlignment="1">
      <alignment wrapText="1"/>
    </xf>
    <xf numFmtId="165" fontId="49" fillId="0" borderId="103" xfId="0" applyNumberFormat="1" applyFont="1" applyBorder="1" applyAlignment="1">
      <alignment horizontal="right" vertical="center" wrapText="1"/>
    </xf>
    <xf numFmtId="0" fontId="52" fillId="0" borderId="93" xfId="1" applyFont="1" applyFill="1" applyBorder="1" applyAlignment="1">
      <alignment horizontal="center" vertical="center"/>
    </xf>
    <xf numFmtId="165" fontId="48" fillId="8" borderId="83" xfId="0" applyNumberFormat="1" applyFont="1" applyFill="1" applyBorder="1" applyAlignment="1">
      <alignment horizontal="center" vertical="top" wrapText="1"/>
    </xf>
    <xf numFmtId="165" fontId="49" fillId="0" borderId="102" xfId="0" applyNumberFormat="1" applyFont="1" applyBorder="1" applyAlignment="1">
      <alignment vertical="center" wrapText="1"/>
    </xf>
    <xf numFmtId="165" fontId="49" fillId="0" borderId="80" xfId="0" applyNumberFormat="1" applyFont="1" applyBorder="1" applyAlignment="1">
      <alignment horizontal="right" vertical="center" wrapText="1"/>
    </xf>
    <xf numFmtId="0" fontId="48" fillId="0" borderId="43" xfId="0" applyFont="1" applyBorder="1"/>
    <xf numFmtId="165" fontId="49" fillId="0" borderId="59" xfId="0" applyNumberFormat="1" applyFont="1" applyBorder="1" applyAlignment="1">
      <alignment horizontal="right" vertical="center" wrapText="1"/>
    </xf>
    <xf numFmtId="0" fontId="48" fillId="8" borderId="38" xfId="0" applyFont="1" applyFill="1" applyBorder="1" applyAlignment="1">
      <alignment horizontal="center" vertical="top" wrapText="1"/>
    </xf>
    <xf numFmtId="165" fontId="49" fillId="0" borderId="67" xfId="0" applyNumberFormat="1" applyFont="1" applyBorder="1" applyAlignment="1">
      <alignment vertical="center" wrapText="1"/>
    </xf>
    <xf numFmtId="0" fontId="47" fillId="8" borderId="0" xfId="0" applyFont="1" applyFill="1"/>
    <xf numFmtId="3" fontId="48" fillId="0" borderId="42" xfId="0" quotePrefix="1" applyNumberFormat="1" applyFont="1" applyBorder="1" applyAlignment="1">
      <alignment horizontal="center" vertical="center" wrapText="1"/>
    </xf>
    <xf numFmtId="165" fontId="49" fillId="0" borderId="51" xfId="0" applyNumberFormat="1" applyFont="1" applyBorder="1" applyAlignment="1">
      <alignment horizontal="right" vertical="center" wrapText="1"/>
    </xf>
    <xf numFmtId="3" fontId="48" fillId="0" borderId="93" xfId="0" quotePrefix="1" applyNumberFormat="1" applyFont="1" applyBorder="1" applyAlignment="1">
      <alignment horizontal="center" vertical="center" wrapText="1"/>
    </xf>
    <xf numFmtId="165" fontId="48" fillId="8" borderId="83" xfId="0" applyNumberFormat="1" applyFont="1" applyFill="1" applyBorder="1" applyAlignment="1">
      <alignment vertical="center" wrapText="1"/>
    </xf>
    <xf numFmtId="0" fontId="48" fillId="0" borderId="93" xfId="0" applyFont="1" applyBorder="1" applyAlignment="1">
      <alignment horizontal="center" vertical="center" wrapText="1"/>
    </xf>
    <xf numFmtId="0" fontId="47" fillId="5" borderId="43" xfId="0" applyFont="1" applyFill="1" applyBorder="1"/>
    <xf numFmtId="165" fontId="50" fillId="5" borderId="103" xfId="1" applyNumberFormat="1" applyFont="1" applyFill="1" applyBorder="1" applyAlignment="1">
      <alignment vertical="center"/>
    </xf>
    <xf numFmtId="165" fontId="47" fillId="8" borderId="104" xfId="0" applyNumberFormat="1" applyFont="1" applyFill="1" applyBorder="1"/>
    <xf numFmtId="3" fontId="48" fillId="0" borderId="58" xfId="0" quotePrefix="1" applyNumberFormat="1" applyFont="1" applyBorder="1" applyAlignment="1">
      <alignment horizontal="center" vertical="center" wrapText="1"/>
    </xf>
    <xf numFmtId="165" fontId="52" fillId="0" borderId="2" xfId="1" applyNumberFormat="1" applyFont="1" applyFill="1" applyBorder="1" applyAlignment="1">
      <alignment horizontal="center" vertical="center"/>
    </xf>
    <xf numFmtId="0" fontId="48" fillId="0" borderId="58" xfId="0" applyFont="1" applyBorder="1" applyAlignment="1">
      <alignment horizontal="center" vertical="center" wrapText="1"/>
    </xf>
    <xf numFmtId="165" fontId="50" fillId="5" borderId="43" xfId="1" applyNumberFormat="1" applyFont="1" applyFill="1" applyBorder="1" applyAlignment="1">
      <alignment vertical="center"/>
    </xf>
    <xf numFmtId="0" fontId="50" fillId="5" borderId="59" xfId="1" applyFont="1" applyFill="1" applyBorder="1" applyAlignment="1">
      <alignment vertical="center"/>
    </xf>
    <xf numFmtId="165" fontId="50" fillId="8" borderId="37" xfId="1" applyNumberFormat="1" applyFont="1" applyFill="1" applyBorder="1" applyAlignment="1">
      <alignment vertical="center"/>
    </xf>
    <xf numFmtId="0" fontId="50" fillId="5" borderId="43" xfId="1" applyFont="1" applyFill="1" applyBorder="1" applyAlignment="1">
      <alignment vertical="center"/>
    </xf>
    <xf numFmtId="14" fontId="47" fillId="0" borderId="87" xfId="0" applyNumberFormat="1" applyFont="1" applyBorder="1" applyAlignment="1">
      <alignment horizontal="center" vertical="center" wrapText="1"/>
    </xf>
    <xf numFmtId="3" fontId="48" fillId="0" borderId="105" xfId="0" quotePrefix="1" applyNumberFormat="1" applyFont="1" applyBorder="1" applyAlignment="1">
      <alignment horizontal="center" vertical="center" wrapText="1"/>
    </xf>
    <xf numFmtId="0" fontId="49" fillId="0" borderId="90" xfId="0" applyFont="1" applyBorder="1" applyAlignment="1">
      <alignment wrapText="1"/>
    </xf>
    <xf numFmtId="165" fontId="49" fillId="0" borderId="106" xfId="0" applyNumberFormat="1" applyFont="1" applyBorder="1" applyAlignment="1">
      <alignment horizontal="right" vertical="center" wrapText="1"/>
    </xf>
    <xf numFmtId="0" fontId="52" fillId="0" borderId="88" xfId="1" applyFont="1" applyFill="1" applyBorder="1" applyAlignment="1">
      <alignment horizontal="center" vertical="center"/>
    </xf>
    <xf numFmtId="0" fontId="48" fillId="8" borderId="87" xfId="0" applyFont="1" applyFill="1" applyBorder="1" applyAlignment="1">
      <alignment vertical="center" wrapText="1"/>
    </xf>
    <xf numFmtId="165" fontId="49" fillId="0" borderId="87" xfId="0" applyNumberFormat="1" applyFont="1" applyBorder="1" applyAlignment="1">
      <alignment horizontal="right" vertical="center" wrapText="1"/>
    </xf>
    <xf numFmtId="0" fontId="48" fillId="0" borderId="88" xfId="0" applyFont="1" applyBorder="1" applyAlignment="1">
      <alignment horizontal="center" vertical="center" wrapText="1"/>
    </xf>
    <xf numFmtId="0" fontId="48" fillId="0" borderId="88" xfId="0" applyFont="1" applyBorder="1" applyAlignment="1">
      <alignment horizontal="left" vertical="center" wrapText="1"/>
    </xf>
    <xf numFmtId="0" fontId="48" fillId="0" borderId="88" xfId="0" applyFont="1" applyBorder="1" applyAlignment="1">
      <alignment horizontal="center" vertical="center"/>
    </xf>
    <xf numFmtId="0" fontId="48" fillId="0" borderId="105" xfId="0" applyFont="1" applyBorder="1" applyAlignment="1">
      <alignment horizontal="center" vertical="center" wrapText="1"/>
    </xf>
    <xf numFmtId="0" fontId="50" fillId="5" borderId="106" xfId="1" applyFont="1" applyFill="1" applyBorder="1" applyAlignment="1">
      <alignment vertical="center"/>
    </xf>
    <xf numFmtId="0" fontId="50" fillId="8" borderId="87" xfId="1" applyFont="1" applyFill="1" applyBorder="1" applyAlignment="1">
      <alignment vertical="center"/>
    </xf>
    <xf numFmtId="0" fontId="50" fillId="0" borderId="88" xfId="1" applyFont="1" applyFill="1" applyBorder="1" applyAlignment="1">
      <alignment horizontal="center" vertical="center"/>
    </xf>
    <xf numFmtId="0" fontId="47" fillId="0" borderId="88" xfId="0" applyFont="1" applyBorder="1"/>
    <xf numFmtId="0" fontId="50" fillId="0" borderId="87" xfId="1" applyFont="1" applyFill="1" applyBorder="1" applyAlignment="1">
      <alignment horizontal="center" vertical="center"/>
    </xf>
    <xf numFmtId="2" fontId="50" fillId="0" borderId="87" xfId="1" applyNumberFormat="1" applyFont="1" applyFill="1" applyBorder="1" applyAlignment="1">
      <alignment vertical="center"/>
    </xf>
    <xf numFmtId="2" fontId="50" fillId="0" borderId="89" xfId="1" applyNumberFormat="1" applyFont="1" applyFill="1" applyBorder="1" applyAlignment="1">
      <alignment vertical="center"/>
    </xf>
    <xf numFmtId="0" fontId="47" fillId="0" borderId="91" xfId="0" applyFont="1" applyBorder="1"/>
    <xf numFmtId="3" fontId="48" fillId="0" borderId="45" xfId="0" quotePrefix="1" applyNumberFormat="1" applyFont="1" applyBorder="1" applyAlignment="1">
      <alignment horizontal="center" vertical="center" wrapText="1"/>
    </xf>
    <xf numFmtId="0" fontId="47" fillId="0" borderId="1" xfId="0" applyFont="1" applyBorder="1"/>
    <xf numFmtId="165" fontId="52" fillId="0" borderId="1" xfId="1" applyNumberFormat="1" applyFont="1" applyFill="1" applyBorder="1" applyAlignment="1">
      <alignment vertical="center"/>
    </xf>
    <xf numFmtId="165" fontId="50" fillId="8" borderId="1" xfId="1" applyNumberFormat="1" applyFont="1" applyFill="1" applyBorder="1" applyAlignment="1">
      <alignment vertical="center"/>
    </xf>
    <xf numFmtId="165" fontId="50" fillId="0" borderId="1" xfId="1" applyNumberFormat="1" applyFont="1" applyFill="1" applyBorder="1" applyAlignment="1">
      <alignment vertical="center"/>
    </xf>
    <xf numFmtId="0" fontId="50" fillId="0" borderId="1" xfId="1" applyFont="1" applyFill="1" applyBorder="1" applyAlignment="1">
      <alignment vertical="center"/>
    </xf>
    <xf numFmtId="2" fontId="50" fillId="0" borderId="99" xfId="1" applyNumberFormat="1" applyFont="1" applyFill="1" applyBorder="1" applyAlignment="1">
      <alignment vertical="center"/>
    </xf>
    <xf numFmtId="165" fontId="52" fillId="0" borderId="2" xfId="1" applyNumberFormat="1" applyFont="1" applyFill="1" applyBorder="1" applyAlignment="1">
      <alignment vertical="center"/>
    </xf>
    <xf numFmtId="0" fontId="50" fillId="8" borderId="2" xfId="1" applyFont="1" applyFill="1" applyBorder="1" applyAlignment="1">
      <alignment vertical="center"/>
    </xf>
    <xf numFmtId="165" fontId="52" fillId="0" borderId="37" xfId="1" applyNumberFormat="1" applyFont="1" applyFill="1" applyBorder="1" applyAlignment="1">
      <alignment vertical="center"/>
    </xf>
    <xf numFmtId="0" fontId="50" fillId="8" borderId="37" xfId="1" applyFont="1" applyFill="1" applyBorder="1" applyAlignment="1">
      <alignment vertical="center"/>
    </xf>
    <xf numFmtId="0" fontId="47" fillId="0" borderId="81" xfId="0" applyFont="1" applyBorder="1" applyAlignment="1">
      <alignment horizontal="left" vertical="top"/>
    </xf>
    <xf numFmtId="165" fontId="52" fillId="0" borderId="80" xfId="1" applyNumberFormat="1" applyFont="1" applyFill="1" applyBorder="1" applyAlignment="1">
      <alignment vertical="center"/>
    </xf>
    <xf numFmtId="165" fontId="50" fillId="8" borderId="80" xfId="1" applyNumberFormat="1" applyFont="1" applyFill="1" applyBorder="1" applyAlignment="1">
      <alignment vertical="center"/>
    </xf>
    <xf numFmtId="0" fontId="47" fillId="0" borderId="80" xfId="0" applyFont="1" applyBorder="1" applyAlignment="1">
      <alignment wrapText="1"/>
    </xf>
    <xf numFmtId="165" fontId="50" fillId="0" borderId="81" xfId="1" applyNumberFormat="1" applyFont="1" applyFill="1" applyBorder="1" applyAlignment="1">
      <alignment vertical="center"/>
    </xf>
    <xf numFmtId="43" fontId="50" fillId="0" borderId="81" xfId="1" applyNumberFormat="1" applyFont="1" applyFill="1" applyBorder="1" applyAlignment="1">
      <alignment vertical="center"/>
    </xf>
    <xf numFmtId="165" fontId="52" fillId="0" borderId="38" xfId="1" applyNumberFormat="1" applyFont="1" applyFill="1" applyBorder="1" applyAlignment="1">
      <alignment vertical="center"/>
    </xf>
    <xf numFmtId="0" fontId="47" fillId="0" borderId="38" xfId="0" applyFont="1" applyBorder="1" applyAlignment="1">
      <alignment wrapText="1"/>
    </xf>
    <xf numFmtId="165" fontId="52" fillId="0" borderId="81" xfId="1" applyNumberFormat="1" applyFont="1" applyFill="1" applyBorder="1" applyAlignment="1">
      <alignment vertical="center"/>
    </xf>
    <xf numFmtId="0" fontId="50" fillId="8" borderId="81" xfId="1" applyFont="1" applyFill="1" applyBorder="1" applyAlignment="1">
      <alignment vertical="center"/>
    </xf>
    <xf numFmtId="0" fontId="47" fillId="0" borderId="104" xfId="0" applyFont="1" applyBorder="1"/>
    <xf numFmtId="3" fontId="48" fillId="0" borderId="88" xfId="0" quotePrefix="1" applyNumberFormat="1" applyFont="1" applyBorder="1" applyAlignment="1">
      <alignment horizontal="center" vertical="center" wrapText="1"/>
    </xf>
    <xf numFmtId="0" fontId="49" fillId="0" borderId="88" xfId="0" applyFont="1" applyBorder="1"/>
    <xf numFmtId="165" fontId="52" fillId="0" borderId="88" xfId="1" applyNumberFormat="1" applyFont="1" applyFill="1" applyBorder="1" applyAlignment="1">
      <alignment vertical="center"/>
    </xf>
    <xf numFmtId="0" fontId="50" fillId="0" borderId="88" xfId="1" applyFont="1" applyFill="1" applyBorder="1" applyAlignment="1">
      <alignment vertical="center"/>
    </xf>
    <xf numFmtId="0" fontId="50" fillId="8" borderId="88" xfId="1" applyFont="1" applyFill="1" applyBorder="1" applyAlignment="1">
      <alignment vertical="center"/>
    </xf>
    <xf numFmtId="0" fontId="47" fillId="0" borderId="121" xfId="0" applyFont="1" applyBorder="1"/>
    <xf numFmtId="14" fontId="47" fillId="0" borderId="38" xfId="0" quotePrefix="1" applyNumberFormat="1" applyFont="1" applyBorder="1" applyAlignment="1">
      <alignment horizontal="center" vertical="center" wrapText="1"/>
    </xf>
    <xf numFmtId="4" fontId="47" fillId="0" borderId="1" xfId="0" applyNumberFormat="1" applyFont="1" applyBorder="1"/>
    <xf numFmtId="43" fontId="47" fillId="0" borderId="1" xfId="0" applyNumberFormat="1" applyFont="1" applyBorder="1" applyAlignment="1">
      <alignment vertical="center"/>
    </xf>
    <xf numFmtId="0" fontId="47" fillId="0" borderId="38" xfId="0" applyFont="1" applyBorder="1"/>
    <xf numFmtId="4" fontId="49" fillId="0" borderId="38" xfId="0" applyNumberFormat="1" applyFont="1" applyBorder="1" applyAlignment="1">
      <alignment vertical="center"/>
    </xf>
    <xf numFmtId="0" fontId="46" fillId="0" borderId="38" xfId="0" applyFont="1" applyBorder="1" applyAlignment="1">
      <alignment wrapText="1"/>
    </xf>
    <xf numFmtId="4" fontId="47" fillId="0" borderId="67" xfId="0" applyNumberFormat="1" applyFont="1" applyBorder="1"/>
    <xf numFmtId="2" fontId="47" fillId="0" borderId="0" xfId="0" applyNumberFormat="1" applyFont="1"/>
    <xf numFmtId="4" fontId="47" fillId="0" borderId="2" xfId="0" applyNumberFormat="1" applyFont="1" applyBorder="1"/>
    <xf numFmtId="0" fontId="47" fillId="0" borderId="2" xfId="0" applyFont="1" applyBorder="1" applyAlignment="1">
      <alignment vertical="center"/>
    </xf>
    <xf numFmtId="2" fontId="47" fillId="8" borderId="2" xfId="0" applyNumberFormat="1" applyFont="1" applyFill="1" applyBorder="1" applyAlignment="1">
      <alignment vertical="center"/>
    </xf>
    <xf numFmtId="4" fontId="51" fillId="0" borderId="66" xfId="0" applyNumberFormat="1" applyFont="1" applyBorder="1"/>
    <xf numFmtId="0" fontId="47" fillId="5" borderId="1" xfId="0" applyFont="1" applyFill="1" applyBorder="1" applyAlignment="1">
      <alignment horizontal="center" vertical="center"/>
    </xf>
    <xf numFmtId="0" fontId="47" fillId="0" borderId="65" xfId="0" applyFont="1" applyBorder="1"/>
    <xf numFmtId="0" fontId="46" fillId="0" borderId="46" xfId="0" applyFont="1" applyBorder="1" applyAlignment="1">
      <alignment wrapText="1"/>
    </xf>
    <xf numFmtId="0" fontId="46" fillId="0" borderId="1" xfId="0" applyFont="1" applyBorder="1" applyAlignment="1">
      <alignment wrapText="1"/>
    </xf>
    <xf numFmtId="2" fontId="50" fillId="0" borderId="1" xfId="1" applyNumberFormat="1" applyFont="1" applyFill="1" applyBorder="1" applyAlignment="1">
      <alignment vertical="center"/>
    </xf>
    <xf numFmtId="2" fontId="50" fillId="0" borderId="45" xfId="1" applyNumberFormat="1" applyFont="1" applyFill="1" applyBorder="1" applyAlignment="1">
      <alignment vertical="center"/>
    </xf>
    <xf numFmtId="0" fontId="47" fillId="5" borderId="37" xfId="0" applyFont="1" applyFill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4" fontId="47" fillId="0" borderId="37" xfId="0" applyNumberFormat="1" applyFont="1" applyBorder="1" applyAlignment="1">
      <alignment horizontal="center" vertical="center" wrapText="1"/>
    </xf>
    <xf numFmtId="0" fontId="47" fillId="0" borderId="28" xfId="0" applyFont="1" applyBorder="1"/>
    <xf numFmtId="165" fontId="52" fillId="8" borderId="37" xfId="0" applyNumberFormat="1" applyFont="1" applyFill="1" applyBorder="1" applyAlignment="1">
      <alignment vertical="center"/>
    </xf>
    <xf numFmtId="165" fontId="47" fillId="5" borderId="37" xfId="0" applyNumberFormat="1" applyFont="1" applyFill="1" applyBorder="1" applyAlignment="1">
      <alignment vertical="center" wrapText="1"/>
    </xf>
    <xf numFmtId="4" fontId="49" fillId="0" borderId="43" xfId="0" applyNumberFormat="1" applyFont="1" applyBorder="1" applyAlignment="1">
      <alignment vertical="center"/>
    </xf>
    <xf numFmtId="165" fontId="47" fillId="8" borderId="0" xfId="0" applyNumberFormat="1" applyFont="1" applyFill="1"/>
    <xf numFmtId="0" fontId="47" fillId="5" borderId="38" xfId="0" applyFont="1" applyFill="1" applyBorder="1" applyAlignment="1">
      <alignment horizontal="center" vertical="center" wrapText="1"/>
    </xf>
    <xf numFmtId="4" fontId="49" fillId="0" borderId="47" xfId="0" applyNumberFormat="1" applyFont="1" applyBorder="1" applyAlignment="1">
      <alignment vertical="center" wrapText="1"/>
    </xf>
    <xf numFmtId="4" fontId="49" fillId="0" borderId="51" xfId="0" applyNumberFormat="1" applyFont="1" applyBorder="1" applyAlignment="1">
      <alignment vertical="center"/>
    </xf>
    <xf numFmtId="0" fontId="47" fillId="0" borderId="29" xfId="0" applyFont="1" applyBorder="1"/>
    <xf numFmtId="4" fontId="51" fillId="0" borderId="72" xfId="0" applyNumberFormat="1" applyFont="1" applyBorder="1" applyAlignment="1">
      <alignment vertical="center"/>
    </xf>
    <xf numFmtId="2" fontId="50" fillId="0" borderId="37" xfId="1" applyNumberFormat="1" applyFont="1" applyFill="1" applyBorder="1" applyAlignment="1">
      <alignment vertical="center"/>
    </xf>
    <xf numFmtId="2" fontId="50" fillId="0" borderId="74" xfId="1" applyNumberFormat="1" applyFont="1" applyFill="1" applyBorder="1" applyAlignment="1">
      <alignment vertical="center"/>
    </xf>
    <xf numFmtId="165" fontId="47" fillId="0" borderId="66" xfId="0" applyNumberFormat="1" applyFont="1" applyBorder="1"/>
    <xf numFmtId="17" fontId="47" fillId="0" borderId="38" xfId="0" applyNumberFormat="1" applyFont="1" applyBorder="1" applyAlignment="1">
      <alignment horizontal="center" vertical="center" wrapText="1"/>
    </xf>
    <xf numFmtId="0" fontId="47" fillId="0" borderId="2" xfId="0" applyFont="1" applyBorder="1" applyAlignment="1">
      <alignment wrapText="1"/>
    </xf>
    <xf numFmtId="165" fontId="52" fillId="8" borderId="38" xfId="0" applyNumberFormat="1" applyFont="1" applyFill="1" applyBorder="1" applyAlignment="1">
      <alignment vertical="center"/>
    </xf>
    <xf numFmtId="165" fontId="47" fillId="5" borderId="38" xfId="0" applyNumberFormat="1" applyFont="1" applyFill="1" applyBorder="1" applyAlignment="1">
      <alignment vertical="center" wrapText="1"/>
    </xf>
    <xf numFmtId="165" fontId="47" fillId="5" borderId="1" xfId="0" applyNumberFormat="1" applyFont="1" applyFill="1" applyBorder="1" applyAlignment="1">
      <alignment vertical="center" wrapText="1"/>
    </xf>
    <xf numFmtId="4" fontId="49" fillId="0" borderId="49" xfId="0" applyNumberFormat="1" applyFont="1" applyBorder="1" applyAlignment="1">
      <alignment vertical="center" wrapText="1"/>
    </xf>
    <xf numFmtId="4" fontId="49" fillId="0" borderId="52" xfId="0" applyNumberFormat="1" applyFont="1" applyBorder="1" applyAlignment="1">
      <alignment vertical="center"/>
    </xf>
    <xf numFmtId="0" fontId="47" fillId="0" borderId="31" xfId="0" applyFont="1" applyBorder="1"/>
    <xf numFmtId="4" fontId="51" fillId="0" borderId="49" xfId="0" applyNumberFormat="1" applyFont="1" applyBorder="1" applyAlignment="1">
      <alignment vertical="center"/>
    </xf>
    <xf numFmtId="165" fontId="51" fillId="0" borderId="66" xfId="0" applyNumberFormat="1" applyFont="1" applyBorder="1"/>
    <xf numFmtId="0" fontId="47" fillId="5" borderId="2" xfId="0" applyFont="1" applyFill="1" applyBorder="1"/>
    <xf numFmtId="0" fontId="47" fillId="5" borderId="2" xfId="0" applyFont="1" applyFill="1" applyBorder="1" applyAlignment="1">
      <alignment vertical="center" wrapText="1"/>
    </xf>
    <xf numFmtId="165" fontId="47" fillId="0" borderId="67" xfId="0" applyNumberFormat="1" applyFont="1" applyBorder="1"/>
    <xf numFmtId="17" fontId="47" fillId="0" borderId="46" xfId="0" applyNumberFormat="1" applyFont="1" applyBorder="1" applyAlignment="1">
      <alignment horizontal="center" vertical="center" wrapText="1"/>
    </xf>
    <xf numFmtId="0" fontId="47" fillId="0" borderId="33" xfId="0" applyFont="1" applyBorder="1"/>
    <xf numFmtId="165" fontId="52" fillId="8" borderId="46" xfId="0" applyNumberFormat="1" applyFont="1" applyFill="1" applyBorder="1" applyAlignment="1">
      <alignment vertical="center"/>
    </xf>
    <xf numFmtId="165" fontId="47" fillId="5" borderId="46" xfId="0" applyNumberFormat="1" applyFont="1" applyFill="1" applyBorder="1" applyAlignment="1">
      <alignment vertical="center" wrapText="1"/>
    </xf>
    <xf numFmtId="0" fontId="47" fillId="0" borderId="55" xfId="0" applyFont="1" applyBorder="1"/>
    <xf numFmtId="0" fontId="47" fillId="5" borderId="33" xfId="0" applyFont="1" applyFill="1" applyBorder="1" applyAlignment="1">
      <alignment vertical="center" wrapText="1"/>
    </xf>
    <xf numFmtId="4" fontId="49" fillId="0" borderId="50" xfId="0" applyNumberFormat="1" applyFont="1" applyBorder="1" applyAlignment="1">
      <alignment vertical="center" wrapText="1"/>
    </xf>
    <xf numFmtId="0" fontId="47" fillId="0" borderId="64" xfId="0" applyFont="1" applyBorder="1" applyAlignment="1">
      <alignment vertical="center" wrapText="1"/>
    </xf>
    <xf numFmtId="0" fontId="47" fillId="0" borderId="34" xfId="0" applyFont="1" applyBorder="1"/>
    <xf numFmtId="4" fontId="51" fillId="0" borderId="50" xfId="0" applyNumberFormat="1" applyFont="1" applyBorder="1" applyAlignment="1">
      <alignment vertical="center"/>
    </xf>
    <xf numFmtId="14" fontId="47" fillId="5" borderId="37" xfId="0" applyNumberFormat="1" applyFont="1" applyFill="1" applyBorder="1" applyAlignment="1">
      <alignment horizontal="center" vertical="center" wrapText="1"/>
    </xf>
    <xf numFmtId="0" fontId="47" fillId="5" borderId="28" xfId="0" applyFont="1" applyFill="1" applyBorder="1" applyAlignment="1">
      <alignment horizontal="center" vertical="center" wrapText="1"/>
    </xf>
    <xf numFmtId="0" fontId="47" fillId="5" borderId="28" xfId="0" applyFont="1" applyFill="1" applyBorder="1"/>
    <xf numFmtId="165" fontId="52" fillId="5" borderId="28" xfId="0" applyNumberFormat="1" applyFont="1" applyFill="1" applyBorder="1" applyAlignment="1">
      <alignment horizontal="right"/>
    </xf>
    <xf numFmtId="165" fontId="47" fillId="5" borderId="43" xfId="0" applyNumberFormat="1" applyFont="1" applyFill="1" applyBorder="1"/>
    <xf numFmtId="0" fontId="47" fillId="5" borderId="57" xfId="0" applyFont="1" applyFill="1" applyBorder="1"/>
    <xf numFmtId="0" fontId="46" fillId="5" borderId="48" xfId="0" applyFont="1" applyFill="1" applyBorder="1" applyAlignment="1">
      <alignment vertical="center"/>
    </xf>
    <xf numFmtId="165" fontId="47" fillId="5" borderId="48" xfId="0" applyNumberFormat="1" applyFont="1" applyFill="1" applyBorder="1" applyAlignment="1">
      <alignment vertical="center"/>
    </xf>
    <xf numFmtId="0" fontId="47" fillId="5" borderId="29" xfId="0" applyFont="1" applyFill="1" applyBorder="1"/>
    <xf numFmtId="0" fontId="47" fillId="5" borderId="0" xfId="0" applyFont="1" applyFill="1"/>
    <xf numFmtId="0" fontId="47" fillId="6" borderId="0" xfId="0" applyFont="1" applyFill="1"/>
    <xf numFmtId="14" fontId="47" fillId="5" borderId="38" xfId="0" applyNumberFormat="1" applyFont="1" applyFill="1" applyBorder="1" applyAlignment="1">
      <alignment horizontal="center" vertical="center" wrapText="1"/>
    </xf>
    <xf numFmtId="0" fontId="47" fillId="5" borderId="2" xfId="0" applyFont="1" applyFill="1" applyBorder="1" applyAlignment="1">
      <alignment horizontal="center" vertical="center" wrapText="1"/>
    </xf>
    <xf numFmtId="16" fontId="46" fillId="5" borderId="2" xfId="0" applyNumberFormat="1" applyFont="1" applyFill="1" applyBorder="1" applyAlignment="1">
      <alignment horizontal="center" vertical="center" wrapText="1"/>
    </xf>
    <xf numFmtId="0" fontId="46" fillId="5" borderId="0" xfId="0" applyFont="1" applyFill="1"/>
    <xf numFmtId="165" fontId="52" fillId="5" borderId="2" xfId="0" applyNumberFormat="1" applyFont="1" applyFill="1" applyBorder="1" applyAlignment="1">
      <alignment horizontal="right"/>
    </xf>
    <xf numFmtId="0" fontId="47" fillId="5" borderId="59" xfId="0" applyFont="1" applyFill="1" applyBorder="1"/>
    <xf numFmtId="0" fontId="46" fillId="5" borderId="38" xfId="0" applyFont="1" applyFill="1" applyBorder="1" applyAlignment="1">
      <alignment vertical="center"/>
    </xf>
    <xf numFmtId="0" fontId="47" fillId="5" borderId="38" xfId="0" applyFont="1" applyFill="1" applyBorder="1" applyAlignment="1">
      <alignment vertical="center"/>
    </xf>
    <xf numFmtId="0" fontId="47" fillId="5" borderId="31" xfId="0" applyFont="1" applyFill="1" applyBorder="1"/>
    <xf numFmtId="0" fontId="51" fillId="0" borderId="66" xfId="0" applyFont="1" applyBorder="1"/>
    <xf numFmtId="0" fontId="47" fillId="0" borderId="67" xfId="0" applyFont="1" applyBorder="1"/>
    <xf numFmtId="0" fontId="47" fillId="5" borderId="37" xfId="0" applyFont="1" applyFill="1" applyBorder="1" applyAlignment="1">
      <alignment vertical="center" wrapText="1"/>
    </xf>
    <xf numFmtId="0" fontId="47" fillId="5" borderId="37" xfId="0" applyFont="1" applyFill="1" applyBorder="1" applyAlignment="1">
      <alignment horizontal="center" vertical="center" wrapText="1"/>
    </xf>
    <xf numFmtId="0" fontId="47" fillId="5" borderId="37" xfId="0" applyFont="1" applyFill="1" applyBorder="1"/>
    <xf numFmtId="165" fontId="52" fillId="5" borderId="37" xfId="0" applyNumberFormat="1" applyFont="1" applyFill="1" applyBorder="1" applyAlignment="1">
      <alignment horizontal="right"/>
    </xf>
    <xf numFmtId="0" fontId="47" fillId="5" borderId="66" xfId="0" applyFont="1" applyFill="1" applyBorder="1"/>
    <xf numFmtId="0" fontId="47" fillId="5" borderId="51" xfId="0" applyFont="1" applyFill="1" applyBorder="1"/>
    <xf numFmtId="0" fontId="47" fillId="5" borderId="110" xfId="0" applyFont="1" applyFill="1" applyBorder="1"/>
    <xf numFmtId="0" fontId="47" fillId="5" borderId="81" xfId="0" applyFont="1" applyFill="1" applyBorder="1" applyAlignment="1">
      <alignment horizontal="center" vertical="center" wrapText="1"/>
    </xf>
    <xf numFmtId="0" fontId="47" fillId="5" borderId="80" xfId="0" applyFont="1" applyFill="1" applyBorder="1" applyAlignment="1">
      <alignment horizontal="center" vertical="center" wrapText="1"/>
    </xf>
    <xf numFmtId="14" fontId="47" fillId="5" borderId="80" xfId="0" applyNumberFormat="1" applyFont="1" applyFill="1" applyBorder="1" applyAlignment="1">
      <alignment horizontal="center" vertical="center" wrapText="1"/>
    </xf>
    <xf numFmtId="17" fontId="47" fillId="5" borderId="81" xfId="0" applyNumberFormat="1" applyFont="1" applyFill="1" applyBorder="1" applyAlignment="1">
      <alignment horizontal="center" vertical="center" wrapText="1"/>
    </xf>
    <xf numFmtId="0" fontId="47" fillId="5" borderId="81" xfId="0" applyFont="1" applyFill="1" applyBorder="1"/>
    <xf numFmtId="165" fontId="52" fillId="0" borderId="80" xfId="0" applyNumberFormat="1" applyFont="1" applyBorder="1" applyAlignment="1">
      <alignment vertical="center"/>
    </xf>
    <xf numFmtId="2" fontId="47" fillId="0" borderId="80" xfId="0" applyNumberFormat="1" applyFont="1" applyBorder="1" applyAlignment="1">
      <alignment vertical="center"/>
    </xf>
    <xf numFmtId="43" fontId="47" fillId="5" borderId="80" xfId="2" applyNumberFormat="1" applyFont="1" applyFill="1" applyBorder="1" applyAlignment="1">
      <alignment vertical="center" wrapText="1"/>
    </xf>
    <xf numFmtId="43" fontId="47" fillId="8" borderId="83" xfId="2" applyNumberFormat="1" applyFont="1" applyFill="1" applyBorder="1" applyAlignment="1">
      <alignment vertical="center" wrapText="1"/>
    </xf>
    <xf numFmtId="165" fontId="47" fillId="0" borderId="80" xfId="0" applyNumberFormat="1" applyFont="1" applyBorder="1" applyAlignment="1">
      <alignment vertical="center"/>
    </xf>
    <xf numFmtId="17" fontId="47" fillId="5" borderId="2" xfId="0" applyNumberFormat="1" applyFont="1" applyFill="1" applyBorder="1" applyAlignment="1">
      <alignment horizontal="center" vertical="center" wrapText="1"/>
    </xf>
    <xf numFmtId="0" fontId="47" fillId="5" borderId="2" xfId="0" applyFont="1" applyFill="1" applyBorder="1" applyAlignment="1">
      <alignment wrapText="1"/>
    </xf>
    <xf numFmtId="165" fontId="52" fillId="0" borderId="38" xfId="0" applyNumberFormat="1" applyFont="1" applyBorder="1" applyAlignment="1">
      <alignment vertical="center"/>
    </xf>
    <xf numFmtId="2" fontId="47" fillId="0" borderId="38" xfId="0" applyNumberFormat="1" applyFont="1" applyBorder="1" applyAlignment="1">
      <alignment vertical="center"/>
    </xf>
    <xf numFmtId="0" fontId="47" fillId="5" borderId="38" xfId="2" applyFont="1" applyFill="1" applyBorder="1" applyAlignment="1">
      <alignment vertical="center" wrapText="1"/>
    </xf>
    <xf numFmtId="43" fontId="47" fillId="8" borderId="73" xfId="2" applyNumberFormat="1" applyFont="1" applyFill="1" applyBorder="1" applyAlignment="1">
      <alignment vertical="center" wrapText="1"/>
    </xf>
    <xf numFmtId="0" fontId="47" fillId="0" borderId="38" xfId="0" applyFont="1" applyBorder="1" applyAlignment="1">
      <alignment vertical="center"/>
    </xf>
    <xf numFmtId="43" fontId="47" fillId="8" borderId="38" xfId="2" applyNumberFormat="1" applyFont="1" applyFill="1" applyBorder="1" applyAlignment="1">
      <alignment vertical="center" wrapText="1"/>
    </xf>
    <xf numFmtId="17" fontId="47" fillId="5" borderId="37" xfId="0" applyNumberFormat="1" applyFont="1" applyFill="1" applyBorder="1" applyAlignment="1">
      <alignment horizontal="center" vertical="center" wrapText="1"/>
    </xf>
    <xf numFmtId="0" fontId="48" fillId="5" borderId="37" xfId="0" applyFont="1" applyFill="1" applyBorder="1"/>
    <xf numFmtId="14" fontId="47" fillId="5" borderId="103" xfId="0" applyNumberFormat="1" applyFont="1" applyFill="1" applyBorder="1" applyAlignment="1">
      <alignment horizontal="center" vertical="center" wrapText="1"/>
    </xf>
    <xf numFmtId="14" fontId="47" fillId="5" borderId="81" xfId="0" applyNumberFormat="1" applyFont="1" applyFill="1" applyBorder="1" applyAlignment="1">
      <alignment horizontal="center" vertical="center" wrapText="1"/>
    </xf>
    <xf numFmtId="0" fontId="47" fillId="0" borderId="80" xfId="0" applyFont="1" applyBorder="1" applyAlignment="1">
      <alignment vertical="center" wrapText="1"/>
    </xf>
    <xf numFmtId="0" fontId="46" fillId="0" borderId="80" xfId="0" applyFont="1" applyBorder="1" applyAlignment="1">
      <alignment wrapText="1"/>
    </xf>
    <xf numFmtId="14" fontId="47" fillId="5" borderId="59" xfId="0" applyNumberFormat="1" applyFont="1" applyFill="1" applyBorder="1" applyAlignment="1">
      <alignment horizontal="center" vertical="center" wrapText="1"/>
    </xf>
    <xf numFmtId="14" fontId="47" fillId="5" borderId="2" xfId="0" applyNumberFormat="1" applyFont="1" applyFill="1" applyBorder="1" applyAlignment="1">
      <alignment horizontal="center" vertical="center" wrapText="1"/>
    </xf>
    <xf numFmtId="0" fontId="47" fillId="0" borderId="38" xfId="0" applyFont="1" applyBorder="1" applyAlignment="1">
      <alignment vertical="center" wrapText="1"/>
    </xf>
    <xf numFmtId="0" fontId="47" fillId="8" borderId="38" xfId="2" applyFont="1" applyFill="1" applyBorder="1" applyAlignment="1">
      <alignment vertical="center" wrapText="1"/>
    </xf>
    <xf numFmtId="0" fontId="47" fillId="5" borderId="88" xfId="0" applyFont="1" applyFill="1" applyBorder="1" applyAlignment="1">
      <alignment horizontal="center" vertical="center" wrapText="1"/>
    </xf>
    <xf numFmtId="14" fontId="47" fillId="5" borderId="51" xfId="0" applyNumberFormat="1" applyFont="1" applyFill="1" applyBorder="1" applyAlignment="1">
      <alignment horizontal="center" vertical="center" wrapText="1"/>
    </xf>
    <xf numFmtId="0" fontId="47" fillId="5" borderId="93" xfId="0" applyFont="1" applyFill="1" applyBorder="1"/>
    <xf numFmtId="165" fontId="52" fillId="8" borderId="83" xfId="0" applyNumberFormat="1" applyFont="1" applyFill="1" applyBorder="1" applyAlignment="1">
      <alignment vertical="center"/>
    </xf>
    <xf numFmtId="43" fontId="47" fillId="0" borderId="80" xfId="2" applyNumberFormat="1" applyFont="1" applyBorder="1" applyAlignment="1">
      <alignment vertical="center" wrapText="1"/>
    </xf>
    <xf numFmtId="43" fontId="47" fillId="0" borderId="80" xfId="0" applyNumberFormat="1" applyFont="1" applyBorder="1" applyAlignment="1">
      <alignment vertical="center"/>
    </xf>
    <xf numFmtId="0" fontId="47" fillId="0" borderId="38" xfId="2" applyFont="1" applyBorder="1" applyAlignment="1">
      <alignment vertical="center" wrapText="1"/>
    </xf>
    <xf numFmtId="0" fontId="47" fillId="0" borderId="81" xfId="0" applyFont="1" applyBorder="1" applyAlignment="1">
      <alignment horizontal="center" vertical="center" wrapText="1"/>
    </xf>
    <xf numFmtId="165" fontId="52" fillId="0" borderId="81" xfId="0" applyNumberFormat="1" applyFont="1" applyBorder="1" applyAlignment="1">
      <alignment horizontal="right"/>
    </xf>
    <xf numFmtId="165" fontId="49" fillId="5" borderId="80" xfId="0" applyNumberFormat="1" applyFont="1" applyFill="1" applyBorder="1" applyAlignment="1">
      <alignment vertical="center"/>
    </xf>
    <xf numFmtId="165" fontId="47" fillId="0" borderId="81" xfId="0" applyNumberFormat="1" applyFont="1" applyBorder="1" applyAlignment="1">
      <alignment horizontal="right" vertical="center"/>
    </xf>
    <xf numFmtId="165" fontId="51" fillId="0" borderId="80" xfId="0" applyNumberFormat="1" applyFont="1" applyBorder="1" applyAlignment="1">
      <alignment vertical="center"/>
    </xf>
    <xf numFmtId="0" fontId="47" fillId="0" borderId="2" xfId="0" applyFont="1" applyBorder="1" applyAlignment="1">
      <alignment horizontal="center" vertical="center"/>
    </xf>
    <xf numFmtId="0" fontId="49" fillId="5" borderId="2" xfId="0" applyFont="1" applyFill="1" applyBorder="1"/>
    <xf numFmtId="165" fontId="52" fillId="0" borderId="2" xfId="0" applyNumberFormat="1" applyFont="1" applyBorder="1" applyAlignment="1">
      <alignment horizontal="right"/>
    </xf>
    <xf numFmtId="165" fontId="49" fillId="5" borderId="38" xfId="0" applyNumberFormat="1" applyFont="1" applyFill="1" applyBorder="1" applyAlignment="1">
      <alignment vertical="center"/>
    </xf>
    <xf numFmtId="165" fontId="51" fillId="6" borderId="37" xfId="0" applyNumberFormat="1" applyFont="1" applyFill="1" applyBorder="1" applyAlignment="1">
      <alignment vertical="center"/>
    </xf>
    <xf numFmtId="165" fontId="47" fillId="0" borderId="2" xfId="0" applyNumberFormat="1" applyFont="1" applyBorder="1" applyAlignment="1">
      <alignment horizontal="right" vertical="center"/>
    </xf>
    <xf numFmtId="165" fontId="51" fillId="0" borderId="38" xfId="0" applyNumberFormat="1" applyFont="1" applyBorder="1" applyAlignment="1">
      <alignment vertical="center"/>
    </xf>
    <xf numFmtId="0" fontId="49" fillId="0" borderId="2" xfId="0" applyFont="1" applyBorder="1"/>
    <xf numFmtId="165" fontId="51" fillId="6" borderId="38" xfId="0" applyNumberFormat="1" applyFont="1" applyFill="1" applyBorder="1" applyAlignment="1">
      <alignment vertical="center"/>
    </xf>
    <xf numFmtId="0" fontId="47" fillId="0" borderId="37" xfId="0" applyFont="1" applyBorder="1" applyAlignment="1">
      <alignment horizontal="center" vertical="center"/>
    </xf>
    <xf numFmtId="165" fontId="52" fillId="0" borderId="37" xfId="0" applyNumberFormat="1" applyFont="1" applyBorder="1" applyAlignment="1">
      <alignment horizontal="right"/>
    </xf>
    <xf numFmtId="14" fontId="47" fillId="0" borderId="81" xfId="0" applyNumberFormat="1" applyFont="1" applyBorder="1" applyAlignment="1">
      <alignment horizontal="center" vertical="center" wrapText="1"/>
    </xf>
    <xf numFmtId="17" fontId="47" fillId="0" borderId="81" xfId="0" applyNumberFormat="1" applyFont="1" applyBorder="1" applyAlignment="1">
      <alignment horizontal="center" vertical="center" wrapText="1"/>
    </xf>
    <xf numFmtId="0" fontId="47" fillId="0" borderId="83" xfId="0" applyFont="1" applyBorder="1"/>
    <xf numFmtId="165" fontId="53" fillId="0" borderId="83" xfId="0" applyNumberFormat="1" applyFont="1" applyBorder="1" applyAlignment="1">
      <alignment horizontal="right"/>
    </xf>
    <xf numFmtId="0" fontId="47" fillId="0" borderId="100" xfId="0" applyFont="1" applyBorder="1"/>
    <xf numFmtId="43" fontId="47" fillId="8" borderId="83" xfId="0" applyNumberFormat="1" applyFont="1" applyFill="1" applyBorder="1" applyAlignment="1">
      <alignment vertical="center"/>
    </xf>
    <xf numFmtId="0" fontId="47" fillId="0" borderId="113" xfId="0" applyFont="1" applyBorder="1"/>
    <xf numFmtId="14" fontId="47" fillId="0" borderId="2" xfId="0" applyNumberFormat="1" applyFont="1" applyBorder="1" applyAlignment="1">
      <alignment horizontal="center" vertical="center" wrapText="1"/>
    </xf>
    <xf numFmtId="17" fontId="47" fillId="0" borderId="2" xfId="0" applyNumberFormat="1" applyFont="1" applyBorder="1" applyAlignment="1">
      <alignment horizontal="center" vertical="center" wrapText="1"/>
    </xf>
    <xf numFmtId="165" fontId="53" fillId="0" borderId="43" xfId="0" applyNumberFormat="1" applyFont="1" applyBorder="1" applyAlignment="1">
      <alignment horizontal="right"/>
    </xf>
    <xf numFmtId="0" fontId="47" fillId="8" borderId="38" xfId="0" applyFont="1" applyFill="1" applyBorder="1" applyAlignment="1">
      <alignment vertical="center"/>
    </xf>
    <xf numFmtId="0" fontId="47" fillId="0" borderId="74" xfId="0" applyFont="1" applyBorder="1"/>
    <xf numFmtId="43" fontId="47" fillId="5" borderId="43" xfId="0" applyNumberFormat="1" applyFont="1" applyFill="1" applyBorder="1" applyAlignment="1">
      <alignment vertical="center"/>
    </xf>
    <xf numFmtId="0" fontId="47" fillId="0" borderId="40" xfId="0" applyFont="1" applyBorder="1"/>
    <xf numFmtId="0" fontId="47" fillId="5" borderId="43" xfId="0" applyFont="1" applyFill="1" applyBorder="1" applyAlignment="1">
      <alignment vertical="center"/>
    </xf>
    <xf numFmtId="17" fontId="47" fillId="0" borderId="37" xfId="0" applyNumberFormat="1" applyFont="1" applyBorder="1" applyAlignment="1">
      <alignment horizontal="center" vertical="center" wrapText="1"/>
    </xf>
    <xf numFmtId="0" fontId="0" fillId="0" borderId="66" xfId="0" applyBorder="1"/>
    <xf numFmtId="165" fontId="53" fillId="0" borderId="66" xfId="0" applyNumberFormat="1" applyFont="1" applyBorder="1" applyAlignment="1">
      <alignment horizontal="right"/>
    </xf>
    <xf numFmtId="0" fontId="47" fillId="0" borderId="75" xfId="0" applyFont="1" applyBorder="1"/>
    <xf numFmtId="0" fontId="47" fillId="0" borderId="78" xfId="0" applyFont="1" applyBorder="1"/>
    <xf numFmtId="14" fontId="47" fillId="0" borderId="83" xfId="0" applyNumberFormat="1" applyFont="1" applyBorder="1" applyAlignment="1">
      <alignment horizontal="center" vertical="center" wrapText="1"/>
    </xf>
    <xf numFmtId="44" fontId="53" fillId="0" borderId="83" xfId="0" applyNumberFormat="1" applyFont="1" applyBorder="1" applyAlignment="1">
      <alignment horizontal="right"/>
    </xf>
    <xf numFmtId="44" fontId="47" fillId="0" borderId="83" xfId="0" applyNumberFormat="1" applyFont="1" applyBorder="1"/>
    <xf numFmtId="44" fontId="47" fillId="0" borderId="100" xfId="0" applyNumberFormat="1" applyFont="1" applyBorder="1"/>
    <xf numFmtId="2" fontId="47" fillId="8" borderId="83" xfId="0" applyNumberFormat="1" applyFont="1" applyFill="1" applyBorder="1" applyAlignment="1">
      <alignment vertical="center"/>
    </xf>
    <xf numFmtId="44" fontId="47" fillId="0" borderId="68" xfId="0" applyNumberFormat="1" applyFont="1" applyBorder="1"/>
    <xf numFmtId="0" fontId="51" fillId="0" borderId="101" xfId="0" applyFont="1" applyBorder="1"/>
    <xf numFmtId="14" fontId="47" fillId="0" borderId="43" xfId="0" applyNumberFormat="1" applyFont="1" applyBorder="1" applyAlignment="1">
      <alignment horizontal="center" vertical="center" wrapText="1"/>
    </xf>
    <xf numFmtId="0" fontId="49" fillId="0" borderId="43" xfId="0" applyFont="1" applyBorder="1"/>
    <xf numFmtId="14" fontId="47" fillId="0" borderId="66" xfId="0" applyNumberFormat="1" applyFont="1" applyBorder="1" applyAlignment="1">
      <alignment horizontal="center" vertical="center" wrapText="1"/>
    </xf>
    <xf numFmtId="0" fontId="49" fillId="0" borderId="66" xfId="0" applyFont="1" applyBorder="1"/>
    <xf numFmtId="14" fontId="47" fillId="0" borderId="100" xfId="0" applyNumberFormat="1" applyFont="1" applyBorder="1" applyAlignment="1">
      <alignment horizontal="center" vertical="center" wrapText="1"/>
    </xf>
    <xf numFmtId="17" fontId="47" fillId="0" borderId="83" xfId="0" applyNumberFormat="1" applyFont="1" applyBorder="1" applyAlignment="1">
      <alignment horizontal="center" vertical="center" wrapText="1"/>
    </xf>
    <xf numFmtId="0" fontId="48" fillId="0" borderId="83" xfId="0" applyFont="1" applyBorder="1"/>
    <xf numFmtId="44" fontId="47" fillId="0" borderId="113" xfId="0" applyNumberFormat="1" applyFont="1" applyBorder="1"/>
    <xf numFmtId="17" fontId="47" fillId="0" borderId="1" xfId="0" applyNumberFormat="1" applyFont="1" applyBorder="1" applyAlignment="1">
      <alignment horizontal="center" vertical="center" wrapText="1"/>
    </xf>
    <xf numFmtId="0" fontId="47" fillId="8" borderId="43" xfId="0" applyFont="1" applyFill="1" applyBorder="1" applyAlignment="1">
      <alignment vertical="center"/>
    </xf>
    <xf numFmtId="0" fontId="47" fillId="8" borderId="66" xfId="0" applyFont="1" applyFill="1" applyBorder="1" applyAlignment="1">
      <alignment vertical="center"/>
    </xf>
    <xf numFmtId="43" fontId="47" fillId="5" borderId="83" xfId="0" applyNumberFormat="1" applyFont="1" applyFill="1" applyBorder="1" applyAlignment="1">
      <alignment vertical="center"/>
    </xf>
    <xf numFmtId="0" fontId="47" fillId="5" borderId="83" xfId="0" applyFont="1" applyFill="1" applyBorder="1" applyAlignment="1">
      <alignment horizontal="center" vertical="center" wrapText="1"/>
    </xf>
    <xf numFmtId="43" fontId="47" fillId="8" borderId="80" xfId="0" applyNumberFormat="1" applyFont="1" applyFill="1" applyBorder="1" applyAlignment="1">
      <alignment vertical="center"/>
    </xf>
    <xf numFmtId="0" fontId="47" fillId="5" borderId="40" xfId="0" applyFont="1" applyFill="1" applyBorder="1"/>
    <xf numFmtId="0" fontId="48" fillId="8" borderId="43" xfId="0" applyFont="1" applyFill="1" applyBorder="1" applyAlignment="1">
      <alignment wrapText="1"/>
    </xf>
    <xf numFmtId="165" fontId="47" fillId="0" borderId="75" xfId="0" applyNumberFormat="1" applyFont="1" applyBorder="1"/>
    <xf numFmtId="0" fontId="47" fillId="5" borderId="66" xfId="0" applyFont="1" applyFill="1" applyBorder="1" applyAlignment="1">
      <alignment vertical="center"/>
    </xf>
    <xf numFmtId="165" fontId="47" fillId="0" borderId="78" xfId="0" applyNumberFormat="1" applyFont="1" applyBorder="1"/>
    <xf numFmtId="14" fontId="47" fillId="0" borderId="103" xfId="0" applyNumberFormat="1" applyFont="1" applyBorder="1" applyAlignment="1">
      <alignment horizontal="center" vertical="center" wrapText="1"/>
    </xf>
    <xf numFmtId="0" fontId="52" fillId="0" borderId="114" xfId="0" applyFont="1" applyBorder="1"/>
    <xf numFmtId="165" fontId="47" fillId="0" borderId="83" xfId="0" applyNumberFormat="1" applyFont="1" applyBorder="1"/>
    <xf numFmtId="165" fontId="47" fillId="0" borderId="100" xfId="0" applyNumberFormat="1" applyFont="1" applyBorder="1"/>
    <xf numFmtId="0" fontId="47" fillId="5" borderId="83" xfId="0" applyFont="1" applyFill="1" applyBorder="1" applyAlignment="1">
      <alignment horizontal="left" vertical="center"/>
    </xf>
    <xf numFmtId="165" fontId="47" fillId="8" borderId="113" xfId="0" applyNumberFormat="1" applyFont="1" applyFill="1" applyBorder="1"/>
    <xf numFmtId="0" fontId="47" fillId="5" borderId="81" xfId="0" applyFont="1" applyFill="1" applyBorder="1" applyAlignment="1">
      <alignment horizontal="left" vertical="center"/>
    </xf>
    <xf numFmtId="165" fontId="47" fillId="0" borderId="113" xfId="0" applyNumberFormat="1" applyFont="1" applyBorder="1"/>
    <xf numFmtId="0" fontId="47" fillId="5" borderId="80" xfId="0" applyFont="1" applyFill="1" applyBorder="1" applyAlignment="1">
      <alignment vertical="center"/>
    </xf>
    <xf numFmtId="14" fontId="47" fillId="0" borderId="77" xfId="0" applyNumberFormat="1" applyFont="1" applyBorder="1" applyAlignment="1">
      <alignment horizontal="center" vertical="center" wrapText="1"/>
    </xf>
    <xf numFmtId="17" fontId="47" fillId="0" borderId="0" xfId="0" applyNumberFormat="1" applyFont="1" applyAlignment="1">
      <alignment horizontal="center" vertical="center" wrapText="1"/>
    </xf>
    <xf numFmtId="165" fontId="47" fillId="0" borderId="43" xfId="0" applyNumberFormat="1" applyFont="1" applyBorder="1"/>
    <xf numFmtId="165" fontId="47" fillId="0" borderId="74" xfId="0" applyNumberFormat="1" applyFont="1" applyBorder="1"/>
    <xf numFmtId="0" fontId="47" fillId="5" borderId="68" xfId="0" applyFont="1" applyFill="1" applyBorder="1" applyAlignment="1">
      <alignment horizontal="left" vertical="center"/>
    </xf>
    <xf numFmtId="0" fontId="47" fillId="5" borderId="68" xfId="0" applyFont="1" applyFill="1" applyBorder="1" applyAlignment="1">
      <alignment horizontal="center" vertical="center" wrapText="1"/>
    </xf>
    <xf numFmtId="165" fontId="47" fillId="8" borderId="40" xfId="0" applyNumberFormat="1" applyFont="1" applyFill="1" applyBorder="1"/>
    <xf numFmtId="0" fontId="47" fillId="5" borderId="2" xfId="0" applyFont="1" applyFill="1" applyBorder="1" applyAlignment="1">
      <alignment horizontal="left" vertical="center"/>
    </xf>
    <xf numFmtId="165" fontId="47" fillId="0" borderId="40" xfId="0" applyNumberFormat="1" applyFont="1" applyBorder="1"/>
    <xf numFmtId="14" fontId="47" fillId="0" borderId="40" xfId="0" applyNumberFormat="1" applyFont="1" applyBorder="1" applyAlignment="1">
      <alignment horizontal="center" vertical="center" wrapText="1"/>
    </xf>
    <xf numFmtId="14" fontId="47" fillId="0" borderId="78" xfId="0" applyNumberFormat="1" applyFont="1" applyBorder="1" applyAlignment="1">
      <alignment horizontal="center" vertical="center" wrapText="1"/>
    </xf>
    <xf numFmtId="17" fontId="47" fillId="0" borderId="66" xfId="0" applyNumberFormat="1" applyFont="1" applyBorder="1" applyAlignment="1">
      <alignment horizontal="center" vertical="center"/>
    </xf>
    <xf numFmtId="0" fontId="47" fillId="8" borderId="66" xfId="0" applyFont="1" applyFill="1" applyBorder="1"/>
    <xf numFmtId="17" fontId="47" fillId="0" borderId="81" xfId="0" applyNumberFormat="1" applyFont="1" applyBorder="1" applyAlignment="1">
      <alignment horizontal="center" vertical="center"/>
    </xf>
    <xf numFmtId="165" fontId="53" fillId="0" borderId="81" xfId="0" applyNumberFormat="1" applyFont="1" applyBorder="1" applyAlignment="1">
      <alignment horizontal="right"/>
    </xf>
    <xf numFmtId="44" fontId="47" fillId="8" borderId="81" xfId="0" applyNumberFormat="1" applyFont="1" applyFill="1" applyBorder="1"/>
    <xf numFmtId="166" fontId="47" fillId="0" borderId="81" xfId="0" applyNumberFormat="1" applyFont="1" applyBorder="1"/>
    <xf numFmtId="0" fontId="47" fillId="8" borderId="80" xfId="0" applyFont="1" applyFill="1" applyBorder="1"/>
    <xf numFmtId="0" fontId="47" fillId="0" borderId="103" xfId="0" applyFont="1" applyBorder="1"/>
    <xf numFmtId="17" fontId="47" fillId="0" borderId="2" xfId="0" applyNumberFormat="1" applyFont="1" applyBorder="1" applyAlignment="1">
      <alignment horizontal="center" vertical="center"/>
    </xf>
    <xf numFmtId="165" fontId="53" fillId="0" borderId="2" xfId="0" applyNumberFormat="1" applyFont="1" applyBorder="1" applyAlignment="1">
      <alignment horizontal="right"/>
    </xf>
    <xf numFmtId="44" fontId="47" fillId="0" borderId="2" xfId="0" applyNumberFormat="1" applyFont="1" applyBorder="1"/>
    <xf numFmtId="44" fontId="47" fillId="8" borderId="2" xfId="0" applyNumberFormat="1" applyFont="1" applyFill="1" applyBorder="1"/>
    <xf numFmtId="44" fontId="47" fillId="0" borderId="1" xfId="0" applyNumberFormat="1" applyFont="1" applyBorder="1"/>
    <xf numFmtId="0" fontId="47" fillId="8" borderId="37" xfId="0" applyFont="1" applyFill="1" applyBorder="1"/>
    <xf numFmtId="17" fontId="47" fillId="0" borderId="37" xfId="0" applyNumberFormat="1" applyFont="1" applyBorder="1" applyAlignment="1">
      <alignment horizontal="center" vertical="center"/>
    </xf>
    <xf numFmtId="165" fontId="53" fillId="0" borderId="37" xfId="0" applyNumberFormat="1" applyFont="1" applyBorder="1" applyAlignment="1">
      <alignment horizontal="right"/>
    </xf>
    <xf numFmtId="44" fontId="47" fillId="0" borderId="37" xfId="0" applyNumberFormat="1" applyFont="1" applyBorder="1"/>
    <xf numFmtId="0" fontId="47" fillId="8" borderId="38" xfId="0" applyFont="1" applyFill="1" applyBorder="1"/>
    <xf numFmtId="0" fontId="47" fillId="5" borderId="37" xfId="0" applyFont="1" applyFill="1" applyBorder="1" applyAlignment="1">
      <alignment horizontal="left" vertical="center"/>
    </xf>
    <xf numFmtId="0" fontId="47" fillId="5" borderId="81" xfId="0" applyFont="1" applyFill="1" applyBorder="1" applyAlignment="1">
      <alignment horizontal="center" vertical="center"/>
    </xf>
    <xf numFmtId="0" fontId="47" fillId="8" borderId="81" xfId="0" applyFont="1" applyFill="1" applyBorder="1"/>
    <xf numFmtId="0" fontId="47" fillId="5" borderId="2" xfId="0" applyFont="1" applyFill="1" applyBorder="1" applyAlignment="1">
      <alignment horizontal="center" vertical="center"/>
    </xf>
    <xf numFmtId="0" fontId="47" fillId="8" borderId="2" xfId="0" applyFont="1" applyFill="1" applyBorder="1"/>
    <xf numFmtId="0" fontId="47" fillId="5" borderId="104" xfId="0" applyFont="1" applyFill="1" applyBorder="1"/>
    <xf numFmtId="43" fontId="47" fillId="9" borderId="2" xfId="0" applyNumberFormat="1" applyFont="1" applyFill="1" applyBorder="1" applyAlignment="1">
      <alignment horizontal="left" vertical="center"/>
    </xf>
    <xf numFmtId="0" fontId="47" fillId="9" borderId="2" xfId="0" applyFont="1" applyFill="1" applyBorder="1"/>
    <xf numFmtId="165" fontId="47" fillId="0" borderId="2" xfId="0" applyNumberFormat="1" applyFont="1" applyBorder="1"/>
    <xf numFmtId="43" fontId="47" fillId="0" borderId="2" xfId="0" applyNumberFormat="1" applyFont="1" applyBorder="1"/>
    <xf numFmtId="43" fontId="47" fillId="8" borderId="38" xfId="0" applyNumberFormat="1" applyFont="1" applyFill="1" applyBorder="1" applyAlignment="1">
      <alignment vertical="center"/>
    </xf>
    <xf numFmtId="17" fontId="47" fillId="0" borderId="83" xfId="0" applyNumberFormat="1" applyFont="1" applyBorder="1" applyAlignment="1">
      <alignment horizontal="center" vertical="center"/>
    </xf>
    <xf numFmtId="165" fontId="53" fillId="0" borderId="103" xfId="0" applyNumberFormat="1" applyFont="1" applyBorder="1" applyAlignment="1">
      <alignment horizontal="right"/>
    </xf>
    <xf numFmtId="17" fontId="47" fillId="0" borderId="43" xfId="0" applyNumberFormat="1" applyFont="1" applyBorder="1" applyAlignment="1">
      <alignment horizontal="center" vertical="center"/>
    </xf>
    <xf numFmtId="165" fontId="53" fillId="0" borderId="59" xfId="0" applyNumberFormat="1" applyFont="1" applyBorder="1" applyAlignment="1">
      <alignment horizontal="right"/>
    </xf>
    <xf numFmtId="0" fontId="47" fillId="0" borderId="59" xfId="0" applyFont="1" applyBorder="1"/>
    <xf numFmtId="165" fontId="47" fillId="6" borderId="37" xfId="0" applyNumberFormat="1" applyFont="1" applyFill="1" applyBorder="1"/>
    <xf numFmtId="165" fontId="53" fillId="0" borderId="51" xfId="0" applyNumberFormat="1" applyFont="1" applyBorder="1" applyAlignment="1">
      <alignment horizontal="right"/>
    </xf>
    <xf numFmtId="0" fontId="47" fillId="0" borderId="42" xfId="0" applyFont="1" applyBorder="1"/>
    <xf numFmtId="43" fontId="47" fillId="5" borderId="66" xfId="0" applyNumberFormat="1" applyFont="1" applyFill="1" applyBorder="1" applyAlignment="1">
      <alignment vertical="center"/>
    </xf>
    <xf numFmtId="0" fontId="47" fillId="0" borderId="51" xfId="0" applyFont="1" applyBorder="1"/>
    <xf numFmtId="0" fontId="47" fillId="8" borderId="104" xfId="0" applyFont="1" applyFill="1" applyBorder="1"/>
    <xf numFmtId="0" fontId="47" fillId="0" borderId="80" xfId="0" applyFont="1" applyBorder="1"/>
    <xf numFmtId="0" fontId="47" fillId="0" borderId="15" xfId="0" applyFont="1" applyBorder="1"/>
    <xf numFmtId="43" fontId="47" fillId="8" borderId="43" xfId="0" applyNumberFormat="1" applyFont="1" applyFill="1" applyBorder="1" applyAlignment="1">
      <alignment vertical="center"/>
    </xf>
    <xf numFmtId="0" fontId="47" fillId="6" borderId="43" xfId="0" applyFont="1" applyFill="1" applyBorder="1"/>
    <xf numFmtId="0" fontId="47" fillId="6" borderId="2" xfId="0" applyFont="1" applyFill="1" applyBorder="1"/>
    <xf numFmtId="165" fontId="47" fillId="6" borderId="129" xfId="0" applyNumberFormat="1" applyFont="1" applyFill="1" applyBorder="1"/>
    <xf numFmtId="0" fontId="47" fillId="0" borderId="125" xfId="0" applyFont="1" applyBorder="1"/>
    <xf numFmtId="0" fontId="47" fillId="5" borderId="130" xfId="0" applyFont="1" applyFill="1" applyBorder="1"/>
    <xf numFmtId="14" fontId="47" fillId="0" borderId="90" xfId="0" applyNumberFormat="1" applyFont="1" applyBorder="1" applyAlignment="1">
      <alignment horizontal="center" vertical="center" wrapText="1"/>
    </xf>
    <xf numFmtId="17" fontId="47" fillId="0" borderId="90" xfId="0" applyNumberFormat="1" applyFont="1" applyBorder="1" applyAlignment="1">
      <alignment horizontal="center" vertical="center"/>
    </xf>
    <xf numFmtId="0" fontId="47" fillId="0" borderId="90" xfId="0" applyFont="1" applyBorder="1"/>
    <xf numFmtId="165" fontId="53" fillId="0" borderId="106" xfId="0" applyNumberFormat="1" applyFont="1" applyBorder="1" applyAlignment="1">
      <alignment horizontal="right"/>
    </xf>
    <xf numFmtId="0" fontId="47" fillId="5" borderId="88" xfId="0" applyFont="1" applyFill="1" applyBorder="1" applyAlignment="1">
      <alignment horizontal="center" vertical="center"/>
    </xf>
    <xf numFmtId="0" fontId="47" fillId="0" borderId="105" xfId="0" applyFont="1" applyBorder="1"/>
    <xf numFmtId="0" fontId="47" fillId="8" borderId="87" xfId="0" applyFont="1" applyFill="1" applyBorder="1"/>
    <xf numFmtId="0" fontId="47" fillId="5" borderId="90" xfId="0" applyFont="1" applyFill="1" applyBorder="1"/>
    <xf numFmtId="0" fontId="47" fillId="0" borderId="126" xfId="0" applyFont="1" applyBorder="1"/>
    <xf numFmtId="0" fontId="47" fillId="0" borderId="106" xfId="0" applyFont="1" applyBorder="1"/>
    <xf numFmtId="0" fontId="47" fillId="5" borderId="131" xfId="0" applyFont="1" applyFill="1" applyBorder="1"/>
    <xf numFmtId="14" fontId="47" fillId="0" borderId="68" xfId="0" applyNumberFormat="1" applyFont="1" applyBorder="1" applyAlignment="1">
      <alignment horizontal="center" vertical="center" wrapText="1"/>
    </xf>
    <xf numFmtId="17" fontId="47" fillId="0" borderId="1" xfId="0" applyNumberFormat="1" applyFont="1" applyBorder="1" applyAlignment="1">
      <alignment horizontal="center" vertical="center"/>
    </xf>
    <xf numFmtId="0" fontId="47" fillId="0" borderId="68" xfId="0" applyFont="1" applyBorder="1"/>
    <xf numFmtId="165" fontId="53" fillId="0" borderId="53" xfId="0" applyNumberFormat="1" applyFont="1" applyBorder="1" applyAlignment="1">
      <alignment horizontal="right"/>
    </xf>
    <xf numFmtId="0" fontId="47" fillId="5" borderId="1" xfId="0" applyFont="1" applyFill="1" applyBorder="1" applyAlignment="1">
      <alignment horizontal="center" vertical="center" wrapText="1"/>
    </xf>
    <xf numFmtId="0" fontId="47" fillId="0" borderId="45" xfId="0" applyFont="1" applyBorder="1"/>
    <xf numFmtId="43" fontId="47" fillId="5" borderId="68" xfId="0" applyNumberFormat="1" applyFont="1" applyFill="1" applyBorder="1" applyAlignment="1">
      <alignment vertical="center"/>
    </xf>
    <xf numFmtId="0" fontId="47" fillId="0" borderId="53" xfId="0" applyFont="1" applyBorder="1"/>
    <xf numFmtId="0" fontId="47" fillId="5" borderId="68" xfId="0" applyFont="1" applyFill="1" applyBorder="1"/>
    <xf numFmtId="165" fontId="47" fillId="5" borderId="38" xfId="0" applyNumberFormat="1" applyFont="1" applyFill="1" applyBorder="1" applyAlignment="1">
      <alignment vertical="center"/>
    </xf>
    <xf numFmtId="165" fontId="47" fillId="8" borderId="80" xfId="0" applyNumberFormat="1" applyFont="1" applyFill="1" applyBorder="1" applyAlignment="1">
      <alignment vertical="center"/>
    </xf>
    <xf numFmtId="165" fontId="47" fillId="5" borderId="43" xfId="0" applyNumberFormat="1" applyFont="1" applyFill="1" applyBorder="1" applyAlignment="1">
      <alignment vertical="center"/>
    </xf>
    <xf numFmtId="0" fontId="47" fillId="5" borderId="59" xfId="0" applyFont="1" applyFill="1" applyBorder="1" applyAlignment="1">
      <alignment horizontal="center" vertical="center" wrapText="1"/>
    </xf>
    <xf numFmtId="165" fontId="47" fillId="8" borderId="38" xfId="0" applyNumberFormat="1" applyFont="1" applyFill="1" applyBorder="1" applyAlignment="1">
      <alignment vertical="center"/>
    </xf>
    <xf numFmtId="14" fontId="47" fillId="0" borderId="127" xfId="0" applyNumberFormat="1" applyFont="1" applyBorder="1" applyAlignment="1">
      <alignment horizontal="center" vertical="center" wrapText="1"/>
    </xf>
    <xf numFmtId="0" fontId="47" fillId="0" borderId="128" xfId="0" applyFont="1" applyBorder="1"/>
    <xf numFmtId="43" fontId="47" fillId="5" borderId="90" xfId="0" applyNumberFormat="1" applyFont="1" applyFill="1" applyBorder="1" applyAlignment="1">
      <alignment vertical="center"/>
    </xf>
    <xf numFmtId="165" fontId="47" fillId="8" borderId="87" xfId="0" applyNumberFormat="1" applyFont="1" applyFill="1" applyBorder="1" applyAlignment="1">
      <alignment vertical="center"/>
    </xf>
    <xf numFmtId="0" fontId="47" fillId="5" borderId="87" xfId="0" applyFont="1" applyFill="1" applyBorder="1"/>
    <xf numFmtId="0" fontId="47" fillId="5" borderId="106" xfId="0" applyFont="1" applyFill="1" applyBorder="1" applyAlignment="1">
      <alignment horizontal="center" vertical="center" wrapText="1"/>
    </xf>
    <xf numFmtId="0" fontId="47" fillId="5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165" fontId="47" fillId="0" borderId="0" xfId="0" applyNumberFormat="1" applyFont="1" applyAlignment="1">
      <alignment horizontal="left" vertical="center" indent="1"/>
    </xf>
    <xf numFmtId="165" fontId="47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4" fontId="47" fillId="0" borderId="0" xfId="0" applyNumberFormat="1" applyFont="1" applyAlignment="1">
      <alignment horizontal="center" vertical="center" wrapText="1"/>
    </xf>
    <xf numFmtId="17" fontId="47" fillId="0" borderId="0" xfId="0" applyNumberFormat="1" applyFont="1" applyAlignment="1">
      <alignment horizontal="center" vertical="center"/>
    </xf>
    <xf numFmtId="165" fontId="53" fillId="0" borderId="0" xfId="0" applyNumberFormat="1" applyFont="1" applyAlignment="1">
      <alignment horizontal="right"/>
    </xf>
    <xf numFmtId="0" fontId="47" fillId="5" borderId="0" xfId="0" applyFont="1" applyFill="1" applyAlignment="1">
      <alignment horizontal="center" vertical="center" wrapText="1"/>
    </xf>
    <xf numFmtId="43" fontId="47" fillId="5" borderId="0" xfId="0" applyNumberFormat="1" applyFont="1" applyFill="1" applyAlignment="1">
      <alignment horizontal="center" vertical="center"/>
    </xf>
    <xf numFmtId="0" fontId="47" fillId="5" borderId="0" xfId="0" applyFont="1" applyFill="1" applyAlignment="1">
      <alignment horizontal="left" vertical="center"/>
    </xf>
    <xf numFmtId="0" fontId="47" fillId="5" borderId="0" xfId="0" applyFont="1" applyFill="1" applyAlignment="1">
      <alignment horizontal="right"/>
    </xf>
    <xf numFmtId="165" fontId="47" fillId="0" borderId="0" xfId="0" applyNumberFormat="1" applyFont="1" applyAlignment="1">
      <alignment horizontal="left"/>
    </xf>
    <xf numFmtId="0" fontId="47" fillId="0" borderId="0" xfId="0" applyFont="1" applyAlignment="1">
      <alignment horizontal="left"/>
    </xf>
    <xf numFmtId="165" fontId="47" fillId="0" borderId="0" xfId="0" applyNumberFormat="1" applyFont="1" applyAlignment="1">
      <alignment horizontal="left" indent="1"/>
    </xf>
    <xf numFmtId="0" fontId="47" fillId="0" borderId="0" xfId="0" applyFont="1" applyAlignment="1">
      <alignment vertical="center"/>
    </xf>
    <xf numFmtId="165" fontId="47" fillId="0" borderId="0" xfId="0" applyNumberFormat="1" applyFont="1" applyAlignment="1">
      <alignment horizontal="right"/>
    </xf>
    <xf numFmtId="165" fontId="51" fillId="0" borderId="0" xfId="0" applyNumberFormat="1" applyFont="1" applyAlignment="1">
      <alignment horizontal="right"/>
    </xf>
    <xf numFmtId="0" fontId="51" fillId="0" borderId="0" xfId="0" applyFont="1"/>
    <xf numFmtId="0" fontId="51" fillId="6" borderId="2" xfId="0" applyFont="1" applyFill="1" applyBorder="1" applyAlignment="1">
      <alignment horizontal="left"/>
    </xf>
    <xf numFmtId="0" fontId="51" fillId="5" borderId="2" xfId="0" applyFont="1" applyFill="1" applyBorder="1" applyAlignment="1">
      <alignment horizontal="left"/>
    </xf>
    <xf numFmtId="165" fontId="51" fillId="6" borderId="2" xfId="0" applyNumberFormat="1" applyFont="1" applyFill="1" applyBorder="1" applyAlignment="1">
      <alignment horizontal="left" indent="1"/>
    </xf>
    <xf numFmtId="0" fontId="51" fillId="6" borderId="2" xfId="0" applyFont="1" applyFill="1" applyBorder="1" applyAlignment="1">
      <alignment vertical="center"/>
    </xf>
    <xf numFmtId="0" fontId="51" fillId="6" borderId="2" xfId="0" applyFont="1" applyFill="1" applyBorder="1"/>
    <xf numFmtId="165" fontId="54" fillId="6" borderId="2" xfId="0" applyNumberFormat="1" applyFont="1" applyFill="1" applyBorder="1" applyAlignment="1">
      <alignment horizontal="right"/>
    </xf>
    <xf numFmtId="0" fontId="51" fillId="5" borderId="2" xfId="0" applyFont="1" applyFill="1" applyBorder="1"/>
    <xf numFmtId="165" fontId="47" fillId="0" borderId="0" xfId="0" applyNumberFormat="1" applyFont="1"/>
    <xf numFmtId="0" fontId="47" fillId="0" borderId="135" xfId="0" applyFont="1" applyBorder="1" applyAlignment="1">
      <alignment horizontal="center" wrapText="1"/>
    </xf>
    <xf numFmtId="0" fontId="47" fillId="0" borderId="136" xfId="0" applyFont="1" applyBorder="1" applyAlignment="1">
      <alignment horizontal="center" wrapText="1"/>
    </xf>
    <xf numFmtId="44" fontId="47" fillId="8" borderId="80" xfId="0" applyNumberFormat="1" applyFont="1" applyFill="1" applyBorder="1"/>
    <xf numFmtId="165" fontId="52" fillId="5" borderId="37" xfId="0" applyNumberFormat="1" applyFont="1" applyFill="1" applyBorder="1" applyAlignment="1">
      <alignment vertical="center"/>
    </xf>
    <xf numFmtId="165" fontId="52" fillId="5" borderId="38" xfId="0" applyNumberFormat="1" applyFont="1" applyFill="1" applyBorder="1" applyAlignment="1">
      <alignment vertical="center"/>
    </xf>
    <xf numFmtId="14" fontId="47" fillId="0" borderId="138" xfId="0" applyNumberFormat="1" applyFont="1" applyBorder="1" applyAlignment="1">
      <alignment horizontal="center" vertical="center" wrapText="1"/>
    </xf>
    <xf numFmtId="17" fontId="47" fillId="0" borderId="138" xfId="0" applyNumberFormat="1" applyFont="1" applyBorder="1" applyAlignment="1">
      <alignment horizontal="center" vertical="center"/>
    </xf>
    <xf numFmtId="0" fontId="47" fillId="0" borderId="138" xfId="0" applyFont="1" applyBorder="1"/>
    <xf numFmtId="165" fontId="53" fillId="0" borderId="57" xfId="0" applyNumberFormat="1" applyFont="1" applyBorder="1" applyAlignment="1">
      <alignment horizontal="right"/>
    </xf>
    <xf numFmtId="0" fontId="47" fillId="5" borderId="28" xfId="0" applyFont="1" applyFill="1" applyBorder="1" applyAlignment="1">
      <alignment horizontal="center" vertical="center"/>
    </xf>
    <xf numFmtId="0" fontId="47" fillId="0" borderId="56" xfId="0" applyFont="1" applyBorder="1"/>
    <xf numFmtId="43" fontId="47" fillId="5" borderId="138" xfId="0" applyNumberFormat="1" applyFont="1" applyFill="1" applyBorder="1" applyAlignment="1">
      <alignment vertical="center"/>
    </xf>
    <xf numFmtId="0" fontId="47" fillId="0" borderId="57" xfId="0" applyFont="1" applyBorder="1"/>
    <xf numFmtId="0" fontId="47" fillId="5" borderId="54" xfId="0" applyFont="1" applyFill="1" applyBorder="1"/>
    <xf numFmtId="0" fontId="47" fillId="0" borderId="54" xfId="0" applyFont="1" applyBorder="1"/>
    <xf numFmtId="2" fontId="50" fillId="0" borderId="48" xfId="1" applyNumberFormat="1" applyFont="1" applyFill="1" applyBorder="1" applyAlignment="1">
      <alignment vertical="center"/>
    </xf>
    <xf numFmtId="2" fontId="50" fillId="0" borderId="140" xfId="1" applyNumberFormat="1" applyFont="1" applyFill="1" applyBorder="1" applyAlignment="1">
      <alignment vertical="center"/>
    </xf>
    <xf numFmtId="0" fontId="47" fillId="0" borderId="141" xfId="0" applyFont="1" applyBorder="1"/>
    <xf numFmtId="165" fontId="51" fillId="0" borderId="143" xfId="0" applyNumberFormat="1" applyFont="1" applyBorder="1"/>
    <xf numFmtId="0" fontId="47" fillId="0" borderId="144" xfId="0" applyFont="1" applyBorder="1"/>
    <xf numFmtId="14" fontId="47" fillId="0" borderId="146" xfId="0" applyNumberFormat="1" applyFont="1" applyBorder="1" applyAlignment="1">
      <alignment horizontal="center" vertical="center" wrapText="1"/>
    </xf>
    <xf numFmtId="17" fontId="47" fillId="0" borderId="146" xfId="0" applyNumberFormat="1" applyFont="1" applyBorder="1" applyAlignment="1">
      <alignment horizontal="center" vertical="center"/>
    </xf>
    <xf numFmtId="0" fontId="47" fillId="0" borderId="146" xfId="0" applyFont="1" applyBorder="1"/>
    <xf numFmtId="165" fontId="53" fillId="0" borderId="61" xfId="0" applyNumberFormat="1" applyFont="1" applyBorder="1" applyAlignment="1">
      <alignment horizontal="right"/>
    </xf>
    <xf numFmtId="0" fontId="47" fillId="5" borderId="33" xfId="0" applyFont="1" applyFill="1" applyBorder="1" applyAlignment="1">
      <alignment horizontal="center" vertical="center"/>
    </xf>
    <xf numFmtId="0" fontId="47" fillId="5" borderId="33" xfId="0" applyFont="1" applyFill="1" applyBorder="1" applyAlignment="1">
      <alignment horizontal="center" vertical="center" wrapText="1"/>
    </xf>
    <xf numFmtId="0" fontId="47" fillId="0" borderId="60" xfId="0" applyFont="1" applyBorder="1"/>
    <xf numFmtId="43" fontId="47" fillId="5" borderId="146" xfId="0" applyNumberFormat="1" applyFont="1" applyFill="1" applyBorder="1" applyAlignment="1">
      <alignment vertical="center"/>
    </xf>
    <xf numFmtId="0" fontId="47" fillId="0" borderId="61" xfId="0" applyFont="1" applyBorder="1"/>
    <xf numFmtId="0" fontId="47" fillId="5" borderId="33" xfId="0" applyFont="1" applyFill="1" applyBorder="1" applyAlignment="1">
      <alignment horizontal="left" vertical="center"/>
    </xf>
    <xf numFmtId="2" fontId="50" fillId="0" borderId="46" xfId="1" applyNumberFormat="1" applyFont="1" applyFill="1" applyBorder="1" applyAlignment="1">
      <alignment vertical="center"/>
    </xf>
    <xf numFmtId="2" fontId="50" fillId="0" borderId="70" xfId="1" applyNumberFormat="1" applyFont="1" applyFill="1" applyBorder="1" applyAlignment="1">
      <alignment vertical="center"/>
    </xf>
    <xf numFmtId="0" fontId="47" fillId="0" borderId="148" xfId="0" applyFont="1" applyBorder="1"/>
    <xf numFmtId="43" fontId="47" fillId="0" borderId="28" xfId="0" applyNumberFormat="1" applyFont="1" applyBorder="1"/>
    <xf numFmtId="43" fontId="47" fillId="0" borderId="54" xfId="0" applyNumberFormat="1" applyFont="1" applyBorder="1"/>
    <xf numFmtId="165" fontId="47" fillId="0" borderId="37" xfId="0" applyNumberFormat="1" applyFont="1" applyBorder="1"/>
    <xf numFmtId="0" fontId="47" fillId="0" borderId="46" xfId="0" applyFont="1" applyBorder="1"/>
    <xf numFmtId="43" fontId="47" fillId="6" borderId="2" xfId="0" applyNumberFormat="1" applyFont="1" applyFill="1" applyBorder="1"/>
    <xf numFmtId="0" fontId="55" fillId="0" borderId="0" xfId="0" applyFont="1" applyAlignment="1">
      <alignment horizontal="right" wrapText="1"/>
    </xf>
    <xf numFmtId="0" fontId="3" fillId="0" borderId="0" xfId="0" applyFont="1"/>
    <xf numFmtId="0" fontId="56" fillId="0" borderId="0" xfId="0" applyFont="1"/>
    <xf numFmtId="43" fontId="47" fillId="8" borderId="2" xfId="0" applyNumberFormat="1" applyFont="1" applyFill="1" applyBorder="1"/>
    <xf numFmtId="43" fontId="47" fillId="0" borderId="138" xfId="0" applyNumberFormat="1" applyFont="1" applyBorder="1" applyAlignment="1">
      <alignment vertical="center"/>
    </xf>
    <xf numFmtId="0" fontId="47" fillId="8" borderId="33" xfId="0" applyFont="1" applyFill="1" applyBorder="1"/>
    <xf numFmtId="0" fontId="47" fillId="8" borderId="102" xfId="0" applyFont="1" applyFill="1" applyBorder="1"/>
    <xf numFmtId="0" fontId="47" fillId="8" borderId="28" xfId="0" applyFont="1" applyFill="1" applyBorder="1"/>
    <xf numFmtId="0" fontId="47" fillId="6" borderId="33" xfId="0" applyFont="1" applyFill="1" applyBorder="1"/>
    <xf numFmtId="44" fontId="47" fillId="8" borderId="37" xfId="0" applyNumberFormat="1" applyFont="1" applyFill="1" applyBorder="1"/>
    <xf numFmtId="44" fontId="47" fillId="8" borderId="38" xfId="0" applyNumberFormat="1" applyFont="1" applyFill="1" applyBorder="1"/>
    <xf numFmtId="43" fontId="47" fillId="0" borderId="83" xfId="0" applyNumberFormat="1" applyFont="1" applyBorder="1" applyAlignment="1">
      <alignment vertical="center"/>
    </xf>
    <xf numFmtId="43" fontId="47" fillId="0" borderId="43" xfId="0" applyNumberFormat="1" applyFont="1" applyBorder="1" applyAlignment="1">
      <alignment vertical="center"/>
    </xf>
    <xf numFmtId="43" fontId="47" fillId="0" borderId="90" xfId="0" applyNumberFormat="1" applyFont="1" applyBorder="1" applyAlignment="1">
      <alignment vertical="center"/>
    </xf>
    <xf numFmtId="43" fontId="51" fillId="0" borderId="85" xfId="0" applyNumberFormat="1" applyFont="1" applyBorder="1"/>
    <xf numFmtId="0" fontId="2" fillId="0" borderId="0" xfId="0" quotePrefix="1" applyFont="1" applyAlignment="1">
      <alignment horizontal="center"/>
    </xf>
    <xf numFmtId="0" fontId="2" fillId="0" borderId="0" xfId="0" applyFont="1"/>
    <xf numFmtId="43" fontId="47" fillId="8" borderId="54" xfId="0" applyNumberFormat="1" applyFont="1" applyFill="1" applyBorder="1"/>
    <xf numFmtId="43" fontId="47" fillId="8" borderId="138" xfId="0" applyNumberFormat="1" applyFont="1" applyFill="1" applyBorder="1" applyAlignment="1">
      <alignment vertical="center"/>
    </xf>
    <xf numFmtId="0" fontId="47" fillId="8" borderId="2" xfId="0" applyFont="1" applyFill="1" applyBorder="1" applyAlignment="1">
      <alignment horizontal="left" vertical="center"/>
    </xf>
    <xf numFmtId="0" fontId="47" fillId="8" borderId="33" xfId="0" applyFont="1" applyFill="1" applyBorder="1" applyAlignment="1">
      <alignment horizontal="left" vertical="center"/>
    </xf>
    <xf numFmtId="43" fontId="47" fillId="8" borderId="56" xfId="0" applyNumberFormat="1" applyFont="1" applyFill="1" applyBorder="1"/>
    <xf numFmtId="43" fontId="47" fillId="8" borderId="140" xfId="0" applyNumberFormat="1" applyFont="1" applyFill="1" applyBorder="1" applyAlignment="1">
      <alignment vertical="center"/>
    </xf>
    <xf numFmtId="0" fontId="47" fillId="8" borderId="58" xfId="0" applyFont="1" applyFill="1" applyBorder="1"/>
    <xf numFmtId="0" fontId="47" fillId="0" borderId="2" xfId="0" applyFont="1" applyBorder="1" applyAlignment="1">
      <alignment vertical="center" wrapText="1"/>
    </xf>
    <xf numFmtId="0" fontId="47" fillId="8" borderId="43" xfId="0" applyFont="1" applyFill="1" applyBorder="1"/>
    <xf numFmtId="0" fontId="47" fillId="8" borderId="90" xfId="0" applyFont="1" applyFill="1" applyBorder="1"/>
    <xf numFmtId="0" fontId="48" fillId="0" borderId="63" xfId="0" applyFont="1" applyBorder="1" applyAlignment="1">
      <alignment horizontal="center" vertical="center" wrapText="1"/>
    </xf>
    <xf numFmtId="0" fontId="47" fillId="10" borderId="2" xfId="0" applyFont="1" applyFill="1" applyBorder="1" applyAlignment="1">
      <alignment vertical="center" wrapText="1"/>
    </xf>
    <xf numFmtId="0" fontId="47" fillId="0" borderId="110" xfId="0" applyFont="1" applyBorder="1"/>
    <xf numFmtId="165" fontId="47" fillId="10" borderId="48" xfId="0" applyNumberFormat="1" applyFont="1" applyFill="1" applyBorder="1" applyAlignment="1">
      <alignment vertical="center"/>
    </xf>
    <xf numFmtId="0" fontId="47" fillId="10" borderId="38" xfId="0" applyFont="1" applyFill="1" applyBorder="1" applyAlignment="1">
      <alignment vertical="center"/>
    </xf>
    <xf numFmtId="1" fontId="50" fillId="0" borderId="100" xfId="1" applyNumberFormat="1" applyFont="1" applyFill="1" applyBorder="1" applyAlignment="1">
      <alignment vertical="center"/>
    </xf>
    <xf numFmtId="165" fontId="47" fillId="8" borderId="48" xfId="0" applyNumberFormat="1" applyFont="1" applyFill="1" applyBorder="1" applyAlignment="1">
      <alignment vertical="center"/>
    </xf>
    <xf numFmtId="43" fontId="47" fillId="8" borderId="104" xfId="0" applyNumberFormat="1" applyFont="1" applyFill="1" applyBorder="1"/>
    <xf numFmtId="0" fontId="47" fillId="8" borderId="83" xfId="0" applyFont="1" applyFill="1" applyBorder="1"/>
    <xf numFmtId="43" fontId="47" fillId="8" borderId="37" xfId="0" applyNumberFormat="1" applyFont="1" applyFill="1" applyBorder="1" applyAlignment="1">
      <alignment vertical="center"/>
    </xf>
    <xf numFmtId="43" fontId="47" fillId="8" borderId="104" xfId="3" applyFont="1" applyFill="1" applyBorder="1"/>
    <xf numFmtId="0" fontId="48" fillId="0" borderId="80" xfId="0" applyFont="1" applyBorder="1" applyAlignment="1">
      <alignment horizontal="center" vertical="center"/>
    </xf>
    <xf numFmtId="0" fontId="48" fillId="0" borderId="38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wrapText="1"/>
    </xf>
    <xf numFmtId="165" fontId="47" fillId="0" borderId="43" xfId="0" applyNumberFormat="1" applyFont="1" applyBorder="1" applyAlignment="1">
      <alignment vertical="center"/>
    </xf>
    <xf numFmtId="165" fontId="47" fillId="0" borderId="90" xfId="0" applyNumberFormat="1" applyFont="1" applyBorder="1" applyAlignment="1">
      <alignment vertical="center"/>
    </xf>
    <xf numFmtId="165" fontId="47" fillId="0" borderId="83" xfId="0" applyNumberFormat="1" applyFont="1" applyBorder="1" applyAlignment="1">
      <alignment vertical="center" wrapText="1"/>
    </xf>
    <xf numFmtId="165" fontId="47" fillId="0" borderId="43" xfId="0" applyNumberFormat="1" applyFont="1" applyBorder="1" applyAlignment="1">
      <alignment vertical="center" wrapText="1"/>
    </xf>
    <xf numFmtId="165" fontId="47" fillId="0" borderId="90" xfId="0" applyNumberFormat="1" applyFont="1" applyBorder="1" applyAlignment="1">
      <alignment vertical="center" wrapText="1"/>
    </xf>
    <xf numFmtId="0" fontId="47" fillId="0" borderId="87" xfId="0" applyFont="1" applyBorder="1"/>
    <xf numFmtId="165" fontId="47" fillId="0" borderId="129" xfId="0" applyNumberFormat="1" applyFont="1" applyBorder="1"/>
    <xf numFmtId="0" fontId="47" fillId="0" borderId="130" xfId="0" applyFont="1" applyBorder="1"/>
    <xf numFmtId="43" fontId="47" fillId="0" borderId="37" xfId="0" applyNumberFormat="1" applyFont="1" applyBorder="1"/>
    <xf numFmtId="43" fontId="47" fillId="0" borderId="43" xfId="0" applyNumberFormat="1" applyFont="1" applyBorder="1"/>
    <xf numFmtId="0" fontId="47" fillId="0" borderId="44" xfId="0" applyFont="1" applyBorder="1"/>
    <xf numFmtId="0" fontId="47" fillId="5" borderId="44" xfId="0" applyFont="1" applyFill="1" applyBorder="1"/>
    <xf numFmtId="44" fontId="47" fillId="0" borderId="104" xfId="0" applyNumberFormat="1" applyFont="1" applyBorder="1"/>
    <xf numFmtId="165" fontId="47" fillId="0" borderId="104" xfId="0" applyNumberFormat="1" applyFont="1" applyBorder="1"/>
    <xf numFmtId="0" fontId="47" fillId="0" borderId="48" xfId="0" applyFont="1" applyBorder="1"/>
    <xf numFmtId="0" fontId="47" fillId="0" borderId="95" xfId="0" applyFont="1" applyBorder="1"/>
    <xf numFmtId="0" fontId="47" fillId="0" borderId="52" xfId="0" applyFont="1" applyBorder="1"/>
    <xf numFmtId="0" fontId="47" fillId="0" borderId="120" xfId="0" applyFont="1" applyBorder="1"/>
    <xf numFmtId="165" fontId="47" fillId="0" borderId="83" xfId="0" applyNumberFormat="1" applyFont="1" applyBorder="1" applyAlignment="1">
      <alignment vertical="center"/>
    </xf>
    <xf numFmtId="43" fontId="30" fillId="0" borderId="48" xfId="0" applyNumberFormat="1" applyFont="1" applyBorder="1"/>
    <xf numFmtId="0" fontId="47" fillId="0" borderId="46" xfId="0" applyFont="1" applyBorder="1" applyAlignment="1">
      <alignment wrapText="1"/>
    </xf>
    <xf numFmtId="43" fontId="3" fillId="0" borderId="0" xfId="0" applyNumberFormat="1" applyFont="1"/>
    <xf numFmtId="43" fontId="47" fillId="8" borderId="37" xfId="0" applyNumberFormat="1" applyFont="1" applyFill="1" applyBorder="1"/>
    <xf numFmtId="43" fontId="47" fillId="6" borderId="104" xfId="0" applyNumberFormat="1" applyFont="1" applyFill="1" applyBorder="1" applyAlignment="1">
      <alignment horizontal="center"/>
    </xf>
    <xf numFmtId="43" fontId="47" fillId="6" borderId="37" xfId="0" applyNumberFormat="1" applyFont="1" applyFill="1" applyBorder="1" applyAlignment="1">
      <alignment horizontal="center"/>
    </xf>
    <xf numFmtId="0" fontId="47" fillId="6" borderId="43" xfId="0" applyFont="1" applyFill="1" applyBorder="1" applyAlignment="1">
      <alignment horizontal="center"/>
    </xf>
    <xf numFmtId="0" fontId="47" fillId="6" borderId="90" xfId="0" applyFont="1" applyFill="1" applyBorder="1" applyAlignment="1">
      <alignment horizontal="center"/>
    </xf>
    <xf numFmtId="0" fontId="47" fillId="6" borderId="88" xfId="0" applyFont="1" applyFill="1" applyBorder="1"/>
    <xf numFmtId="165" fontId="47" fillId="11" borderId="43" xfId="0" applyNumberFormat="1" applyFont="1" applyFill="1" applyBorder="1" applyAlignment="1">
      <alignment vertical="center"/>
    </xf>
    <xf numFmtId="0" fontId="47" fillId="8" borderId="2" xfId="0" applyFont="1" applyFill="1" applyBorder="1" applyAlignment="1">
      <alignment wrapText="1"/>
    </xf>
    <xf numFmtId="0" fontId="47" fillId="0" borderId="0" xfId="0" applyFont="1" applyAlignment="1">
      <alignment horizontal="center" wrapText="1"/>
    </xf>
    <xf numFmtId="2" fontId="50" fillId="0" borderId="0" xfId="1" applyNumberFormat="1" applyFont="1" applyFill="1" applyBorder="1" applyAlignment="1">
      <alignment vertical="center"/>
    </xf>
    <xf numFmtId="0" fontId="49" fillId="0" borderId="0" xfId="0" applyFont="1" applyAlignment="1">
      <alignment horizontal="center" vertical="center" wrapText="1"/>
    </xf>
    <xf numFmtId="165" fontId="47" fillId="0" borderId="0" xfId="0" applyNumberFormat="1" applyFont="1" applyAlignment="1">
      <alignment vertical="center"/>
    </xf>
    <xf numFmtId="165" fontId="47" fillId="0" borderId="0" xfId="0" applyNumberFormat="1" applyFont="1" applyAlignment="1">
      <alignment vertical="center" wrapText="1"/>
    </xf>
    <xf numFmtId="0" fontId="47" fillId="0" borderId="0" xfId="0" applyFont="1" applyAlignment="1">
      <alignment horizontal="center" vertical="center" wrapText="1"/>
    </xf>
    <xf numFmtId="43" fontId="47" fillId="0" borderId="0" xfId="0" applyNumberFormat="1" applyFont="1" applyAlignment="1">
      <alignment vertical="center"/>
    </xf>
    <xf numFmtId="0" fontId="47" fillId="0" borderId="0" xfId="0" applyFont="1" applyAlignment="1">
      <alignment horizontal="center"/>
    </xf>
    <xf numFmtId="0" fontId="47" fillId="8" borderId="1" xfId="0" applyFont="1" applyFill="1" applyBorder="1"/>
    <xf numFmtId="165" fontId="47" fillId="8" borderId="37" xfId="0" applyNumberFormat="1" applyFont="1" applyFill="1" applyBorder="1"/>
    <xf numFmtId="0" fontId="47" fillId="8" borderId="46" xfId="0" applyFont="1" applyFill="1" applyBorder="1"/>
    <xf numFmtId="0" fontId="47" fillId="5" borderId="44" xfId="0" applyFont="1" applyFill="1" applyBorder="1" applyAlignment="1">
      <alignment horizontal="center" vertical="center" wrapText="1"/>
    </xf>
    <xf numFmtId="0" fontId="48" fillId="5" borderId="81" xfId="0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center" vertical="center" wrapText="1"/>
    </xf>
    <xf numFmtId="0" fontId="48" fillId="5" borderId="88" xfId="0" applyFont="1" applyFill="1" applyBorder="1" applyAlignment="1">
      <alignment horizontal="center" vertical="center" wrapText="1"/>
    </xf>
    <xf numFmtId="0" fontId="47" fillId="5" borderId="43" xfId="0" applyFont="1" applyFill="1" applyBorder="1" applyAlignment="1">
      <alignment horizontal="center" vertical="center" wrapText="1"/>
    </xf>
    <xf numFmtId="0" fontId="47" fillId="5" borderId="66" xfId="0" applyFont="1" applyFill="1" applyBorder="1" applyAlignment="1">
      <alignment horizontal="center" vertical="center" wrapText="1"/>
    </xf>
    <xf numFmtId="0" fontId="47" fillId="5" borderId="0" xfId="0" applyFont="1" applyFill="1" applyAlignment="1">
      <alignment horizontal="center" wrapText="1"/>
    </xf>
    <xf numFmtId="165" fontId="48" fillId="5" borderId="81" xfId="1" applyNumberFormat="1" applyFont="1" applyFill="1" applyBorder="1" applyAlignment="1">
      <alignment vertical="center"/>
    </xf>
    <xf numFmtId="165" fontId="50" fillId="5" borderId="81" xfId="1" applyNumberFormat="1" applyFont="1" applyFill="1" applyBorder="1" applyAlignment="1">
      <alignment vertical="center"/>
    </xf>
    <xf numFmtId="0" fontId="50" fillId="5" borderId="81" xfId="1" applyFont="1" applyFill="1" applyBorder="1" applyAlignment="1">
      <alignment vertical="center"/>
    </xf>
    <xf numFmtId="0" fontId="48" fillId="5" borderId="81" xfId="0" applyFont="1" applyFill="1" applyBorder="1" applyAlignment="1">
      <alignment horizontal="left" vertical="center" wrapText="1"/>
    </xf>
    <xf numFmtId="0" fontId="50" fillId="5" borderId="80" xfId="1" applyFont="1" applyFill="1" applyBorder="1" applyAlignment="1">
      <alignment vertical="center"/>
    </xf>
    <xf numFmtId="2" fontId="50" fillId="5" borderId="82" xfId="1" applyNumberFormat="1" applyFont="1" applyFill="1" applyBorder="1" applyAlignment="1">
      <alignment vertical="center"/>
    </xf>
    <xf numFmtId="2" fontId="50" fillId="5" borderId="83" xfId="1" applyNumberFormat="1" applyFont="1" applyFill="1" applyBorder="1" applyAlignment="1">
      <alignment vertical="center"/>
    </xf>
    <xf numFmtId="0" fontId="47" fillId="5" borderId="17" xfId="0" applyFont="1" applyFill="1" applyBorder="1"/>
    <xf numFmtId="165" fontId="48" fillId="5" borderId="2" xfId="1" applyNumberFormat="1" applyFont="1" applyFill="1" applyBorder="1" applyAlignment="1">
      <alignment vertical="center"/>
    </xf>
    <xf numFmtId="0" fontId="50" fillId="5" borderId="2" xfId="1" applyNumberFormat="1" applyFont="1" applyFill="1" applyBorder="1" applyAlignment="1">
      <alignment vertical="center"/>
    </xf>
    <xf numFmtId="0" fontId="50" fillId="5" borderId="2" xfId="1" applyFont="1" applyFill="1" applyBorder="1" applyAlignment="1">
      <alignment vertical="center"/>
    </xf>
    <xf numFmtId="0" fontId="47" fillId="5" borderId="2" xfId="0" applyFont="1" applyFill="1" applyBorder="1" applyAlignment="1">
      <alignment horizontal="left" vertical="center" wrapText="1"/>
    </xf>
    <xf numFmtId="0" fontId="50" fillId="5" borderId="38" xfId="1" applyFont="1" applyFill="1" applyBorder="1" applyAlignment="1">
      <alignment vertical="center"/>
    </xf>
    <xf numFmtId="2" fontId="50" fillId="5" borderId="44" xfId="1" applyNumberFormat="1" applyFont="1" applyFill="1" applyBorder="1" applyAlignment="1">
      <alignment vertical="center"/>
    </xf>
    <xf numFmtId="2" fontId="50" fillId="5" borderId="43" xfId="1" applyNumberFormat="1" applyFont="1" applyFill="1" applyBorder="1" applyAlignment="1">
      <alignment vertical="center"/>
    </xf>
    <xf numFmtId="0" fontId="51" fillId="5" borderId="85" xfId="0" applyFont="1" applyFill="1" applyBorder="1"/>
    <xf numFmtId="0" fontId="48" fillId="5" borderId="2" xfId="0" applyFont="1" applyFill="1" applyBorder="1" applyAlignment="1">
      <alignment horizontal="left" vertical="center" wrapText="1"/>
    </xf>
    <xf numFmtId="0" fontId="47" fillId="5" borderId="86" xfId="0" applyFont="1" applyFill="1" applyBorder="1"/>
    <xf numFmtId="165" fontId="48" fillId="5" borderId="37" xfId="1" applyNumberFormat="1" applyFont="1" applyFill="1" applyBorder="1" applyAlignment="1">
      <alignment vertical="center"/>
    </xf>
    <xf numFmtId="0" fontId="50" fillId="5" borderId="37" xfId="1" applyNumberFormat="1" applyFont="1" applyFill="1" applyBorder="1" applyAlignment="1">
      <alignment vertical="center"/>
    </xf>
    <xf numFmtId="0" fontId="50" fillId="5" borderId="37" xfId="1" applyFont="1" applyFill="1" applyBorder="1" applyAlignment="1">
      <alignment vertical="center"/>
    </xf>
    <xf numFmtId="0" fontId="48" fillId="5" borderId="37" xfId="0" applyFont="1" applyFill="1" applyBorder="1" applyAlignment="1">
      <alignment horizontal="left" vertical="center" wrapText="1"/>
    </xf>
    <xf numFmtId="2" fontId="50" fillId="5" borderId="66" xfId="1" applyNumberFormat="1" applyFont="1" applyFill="1" applyBorder="1" applyAlignment="1">
      <alignment vertical="center"/>
    </xf>
    <xf numFmtId="165" fontId="48" fillId="5" borderId="81" xfId="1" applyNumberFormat="1" applyFont="1" applyFill="1" applyBorder="1" applyAlignment="1">
      <alignment horizontal="right" vertical="center"/>
    </xf>
    <xf numFmtId="0" fontId="47" fillId="5" borderId="93" xfId="0" applyFont="1" applyFill="1" applyBorder="1" applyAlignment="1">
      <alignment horizontal="center" vertical="center" wrapText="1"/>
    </xf>
    <xf numFmtId="0" fontId="50" fillId="5" borderId="83" xfId="1" applyNumberFormat="1" applyFont="1" applyFill="1" applyBorder="1" applyAlignment="1">
      <alignment horizontal="center" vertical="center"/>
    </xf>
    <xf numFmtId="165" fontId="50" fillId="5" borderId="94" xfId="1" applyNumberFormat="1" applyFont="1" applyFill="1" applyBorder="1" applyAlignment="1">
      <alignment vertical="center"/>
    </xf>
    <xf numFmtId="0" fontId="50" fillId="5" borderId="80" xfId="1" applyFont="1" applyFill="1" applyBorder="1" applyAlignment="1">
      <alignment horizontal="center" vertical="center"/>
    </xf>
    <xf numFmtId="165" fontId="50" fillId="5" borderId="95" xfId="1" applyNumberFormat="1" applyFont="1" applyFill="1" applyBorder="1" applyAlignment="1">
      <alignment vertical="center"/>
    </xf>
    <xf numFmtId="2" fontId="50" fillId="5" borderId="80" xfId="1" applyNumberFormat="1" applyFont="1" applyFill="1" applyBorder="1" applyAlignment="1">
      <alignment vertical="center"/>
    </xf>
    <xf numFmtId="165" fontId="48" fillId="5" borderId="2" xfId="1" applyNumberFormat="1" applyFont="1" applyFill="1" applyBorder="1" applyAlignment="1">
      <alignment horizontal="right" vertical="center"/>
    </xf>
    <xf numFmtId="0" fontId="47" fillId="5" borderId="45" xfId="0" applyFont="1" applyFill="1" applyBorder="1" applyAlignment="1">
      <alignment horizontal="center" vertical="center" wrapText="1"/>
    </xf>
    <xf numFmtId="0" fontId="50" fillId="5" borderId="43" xfId="1" applyNumberFormat="1" applyFont="1" applyFill="1" applyBorder="1" applyAlignment="1">
      <alignment horizontal="center" vertical="center"/>
    </xf>
    <xf numFmtId="0" fontId="50" fillId="5" borderId="69" xfId="1" applyNumberFormat="1" applyFont="1" applyFill="1" applyBorder="1" applyAlignment="1">
      <alignment vertical="center"/>
    </xf>
    <xf numFmtId="165" fontId="50" fillId="5" borderId="51" xfId="1" applyNumberFormat="1" applyFont="1" applyFill="1" applyBorder="1" applyAlignment="1">
      <alignment vertical="center"/>
    </xf>
    <xf numFmtId="0" fontId="50" fillId="5" borderId="38" xfId="1" applyFont="1" applyFill="1" applyBorder="1" applyAlignment="1">
      <alignment horizontal="center" vertical="center"/>
    </xf>
    <xf numFmtId="2" fontId="50" fillId="5" borderId="38" xfId="1" applyNumberFormat="1" applyFont="1" applyFill="1" applyBorder="1" applyAlignment="1">
      <alignment vertical="center"/>
    </xf>
    <xf numFmtId="165" fontId="51" fillId="5" borderId="85" xfId="0" applyNumberFormat="1" applyFont="1" applyFill="1" applyBorder="1"/>
    <xf numFmtId="0" fontId="50" fillId="5" borderId="52" xfId="1" applyNumberFormat="1" applyFont="1" applyFill="1" applyBorder="1" applyAlignment="1">
      <alignment vertical="center"/>
    </xf>
    <xf numFmtId="0" fontId="47" fillId="5" borderId="19" xfId="0" applyFont="1" applyFill="1" applyBorder="1"/>
    <xf numFmtId="165" fontId="48" fillId="5" borderId="37" xfId="1" applyNumberFormat="1" applyFont="1" applyFill="1" applyBorder="1" applyAlignment="1">
      <alignment horizontal="right" vertical="center"/>
    </xf>
    <xf numFmtId="0" fontId="50" fillId="5" borderId="66" xfId="1" applyNumberFormat="1" applyFont="1" applyFill="1" applyBorder="1" applyAlignment="1">
      <alignment horizontal="center" vertical="center"/>
    </xf>
    <xf numFmtId="165" fontId="49" fillId="5" borderId="103" xfId="0" applyNumberFormat="1" applyFont="1" applyFill="1" applyBorder="1" applyAlignment="1">
      <alignment horizontal="right" vertical="center" wrapText="1"/>
    </xf>
    <xf numFmtId="0" fontId="52" fillId="5" borderId="93" xfId="1" applyFont="1" applyFill="1" applyBorder="1" applyAlignment="1">
      <alignment horizontal="center" vertical="center"/>
    </xf>
    <xf numFmtId="165" fontId="48" fillId="5" borderId="83" xfId="0" applyNumberFormat="1" applyFont="1" applyFill="1" applyBorder="1" applyAlignment="1">
      <alignment horizontal="center" vertical="top" wrapText="1"/>
    </xf>
    <xf numFmtId="165" fontId="49" fillId="5" borderId="102" xfId="0" applyNumberFormat="1" applyFont="1" applyFill="1" applyBorder="1" applyAlignment="1">
      <alignment vertical="center" wrapText="1"/>
    </xf>
    <xf numFmtId="0" fontId="48" fillId="5" borderId="81" xfId="0" applyFont="1" applyFill="1" applyBorder="1" applyAlignment="1">
      <alignment horizontal="center" vertical="center"/>
    </xf>
    <xf numFmtId="165" fontId="49" fillId="5" borderId="80" xfId="0" applyNumberFormat="1" applyFont="1" applyFill="1" applyBorder="1" applyAlignment="1">
      <alignment horizontal="right" vertical="center" wrapText="1"/>
    </xf>
    <xf numFmtId="2" fontId="50" fillId="5" borderId="100" xfId="1" applyNumberFormat="1" applyFont="1" applyFill="1" applyBorder="1" applyAlignment="1">
      <alignment vertical="center"/>
    </xf>
    <xf numFmtId="0" fontId="47" fillId="5" borderId="101" xfId="0" applyFont="1" applyFill="1" applyBorder="1"/>
    <xf numFmtId="165" fontId="49" fillId="5" borderId="59" xfId="0" applyNumberFormat="1" applyFont="1" applyFill="1" applyBorder="1" applyAlignment="1">
      <alignment horizontal="right" vertical="center" wrapText="1"/>
    </xf>
    <xf numFmtId="0" fontId="52" fillId="5" borderId="2" xfId="1" applyFont="1" applyFill="1" applyBorder="1" applyAlignment="1">
      <alignment horizontal="center" vertical="center"/>
    </xf>
    <xf numFmtId="0" fontId="48" fillId="5" borderId="38" xfId="0" applyFont="1" applyFill="1" applyBorder="1" applyAlignment="1">
      <alignment horizontal="center" vertical="top" wrapText="1"/>
    </xf>
    <xf numFmtId="165" fontId="49" fillId="5" borderId="67" xfId="0" applyNumberFormat="1" applyFont="1" applyFill="1" applyBorder="1" applyAlignment="1">
      <alignment vertical="center" wrapText="1"/>
    </xf>
    <xf numFmtId="0" fontId="48" fillId="5" borderId="2" xfId="0" applyFont="1" applyFill="1" applyBorder="1" applyAlignment="1">
      <alignment horizontal="center" vertical="center"/>
    </xf>
    <xf numFmtId="165" fontId="49" fillId="5" borderId="38" xfId="0" applyNumberFormat="1" applyFont="1" applyFill="1" applyBorder="1" applyAlignment="1">
      <alignment horizontal="right" vertical="center" wrapText="1"/>
    </xf>
    <xf numFmtId="165" fontId="49" fillId="5" borderId="51" xfId="0" applyNumberFormat="1" applyFont="1" applyFill="1" applyBorder="1" applyAlignment="1">
      <alignment horizontal="right" vertical="center" wrapText="1"/>
    </xf>
    <xf numFmtId="0" fontId="52" fillId="5" borderId="37" xfId="1" applyFont="1" applyFill="1" applyBorder="1" applyAlignment="1">
      <alignment horizontal="center"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7" xfId="0" applyFont="1" applyFill="1" applyBorder="1" applyAlignment="1">
      <alignment horizontal="center" vertical="center" wrapText="1"/>
    </xf>
    <xf numFmtId="165" fontId="48" fillId="5" borderId="83" xfId="0" applyNumberFormat="1" applyFont="1" applyFill="1" applyBorder="1" applyAlignment="1">
      <alignment vertical="center" wrapText="1"/>
    </xf>
    <xf numFmtId="0" fontId="48" fillId="5" borderId="93" xfId="0" applyFont="1" applyFill="1" applyBorder="1" applyAlignment="1">
      <alignment horizontal="center" vertical="center" wrapText="1"/>
    </xf>
    <xf numFmtId="165" fontId="47" fillId="5" borderId="104" xfId="0" applyNumberFormat="1" applyFont="1" applyFill="1" applyBorder="1"/>
    <xf numFmtId="165" fontId="52" fillId="5" borderId="2" xfId="1" applyNumberFormat="1" applyFont="1" applyFill="1" applyBorder="1" applyAlignment="1">
      <alignment horizontal="center" vertical="center"/>
    </xf>
    <xf numFmtId="0" fontId="48" fillId="5" borderId="38" xfId="0" applyFont="1" applyFill="1" applyBorder="1" applyAlignment="1">
      <alignment vertical="center" wrapText="1"/>
    </xf>
    <xf numFmtId="0" fontId="48" fillId="5" borderId="58" xfId="0" applyFont="1" applyFill="1" applyBorder="1" applyAlignment="1">
      <alignment horizontal="center" vertical="center" wrapText="1"/>
    </xf>
    <xf numFmtId="165" fontId="50" fillId="5" borderId="37" xfId="1" applyNumberFormat="1" applyFont="1" applyFill="1" applyBorder="1" applyAlignment="1">
      <alignment vertical="center"/>
    </xf>
    <xf numFmtId="165" fontId="49" fillId="5" borderId="106" xfId="0" applyNumberFormat="1" applyFont="1" applyFill="1" applyBorder="1" applyAlignment="1">
      <alignment horizontal="right" vertical="center" wrapText="1"/>
    </xf>
    <xf numFmtId="0" fontId="52" fillId="5" borderId="88" xfId="1" applyFont="1" applyFill="1" applyBorder="1" applyAlignment="1">
      <alignment horizontal="center" vertical="center"/>
    </xf>
    <xf numFmtId="0" fontId="48" fillId="5" borderId="87" xfId="0" applyFont="1" applyFill="1" applyBorder="1" applyAlignment="1">
      <alignment vertical="center" wrapText="1"/>
    </xf>
    <xf numFmtId="165" fontId="49" fillId="5" borderId="87" xfId="0" applyNumberFormat="1" applyFont="1" applyFill="1" applyBorder="1" applyAlignment="1">
      <alignment horizontal="right" vertical="center" wrapText="1"/>
    </xf>
    <xf numFmtId="0" fontId="48" fillId="5" borderId="88" xfId="0" applyFont="1" applyFill="1" applyBorder="1" applyAlignment="1">
      <alignment horizontal="left" vertical="center" wrapText="1"/>
    </xf>
    <xf numFmtId="0" fontId="48" fillId="5" borderId="88" xfId="0" applyFont="1" applyFill="1" applyBorder="1" applyAlignment="1">
      <alignment horizontal="center" vertical="center"/>
    </xf>
    <xf numFmtId="0" fontId="48" fillId="5" borderId="105" xfId="0" applyFont="1" applyFill="1" applyBorder="1" applyAlignment="1">
      <alignment horizontal="center" vertical="center" wrapText="1"/>
    </xf>
    <xf numFmtId="0" fontId="50" fillId="5" borderId="87" xfId="1" applyFont="1" applyFill="1" applyBorder="1" applyAlignment="1">
      <alignment vertical="center"/>
    </xf>
    <xf numFmtId="0" fontId="50" fillId="5" borderId="88" xfId="1" applyFont="1" applyFill="1" applyBorder="1" applyAlignment="1">
      <alignment horizontal="center" vertical="center"/>
    </xf>
    <xf numFmtId="0" fontId="47" fillId="5" borderId="88" xfId="0" applyFont="1" applyFill="1" applyBorder="1"/>
    <xf numFmtId="0" fontId="50" fillId="5" borderId="87" xfId="1" applyFont="1" applyFill="1" applyBorder="1" applyAlignment="1">
      <alignment horizontal="center" vertical="center"/>
    </xf>
    <xf numFmtId="2" fontId="50" fillId="5" borderId="87" xfId="1" applyNumberFormat="1" applyFont="1" applyFill="1" applyBorder="1" applyAlignment="1">
      <alignment vertical="center"/>
    </xf>
    <xf numFmtId="2" fontId="50" fillId="5" borderId="89" xfId="1" applyNumberFormat="1" applyFont="1" applyFill="1" applyBorder="1" applyAlignment="1">
      <alignment vertical="center"/>
    </xf>
    <xf numFmtId="0" fontId="47" fillId="5" borderId="91" xfId="0" applyFont="1" applyFill="1" applyBorder="1"/>
    <xf numFmtId="165" fontId="52" fillId="5" borderId="1" xfId="1" applyNumberFormat="1" applyFont="1" applyFill="1" applyBorder="1" applyAlignment="1">
      <alignment vertical="center"/>
    </xf>
    <xf numFmtId="165" fontId="50" fillId="5" borderId="1" xfId="1" applyNumberFormat="1" applyFont="1" applyFill="1" applyBorder="1" applyAlignment="1">
      <alignment vertical="center"/>
    </xf>
    <xf numFmtId="0" fontId="50" fillId="5" borderId="1" xfId="1" applyFont="1" applyFill="1" applyBorder="1" applyAlignment="1">
      <alignment vertical="center"/>
    </xf>
    <xf numFmtId="0" fontId="47" fillId="5" borderId="1" xfId="0" applyFont="1" applyFill="1" applyBorder="1"/>
    <xf numFmtId="2" fontId="50" fillId="5" borderId="99" xfId="1" applyNumberFormat="1" applyFont="1" applyFill="1" applyBorder="1" applyAlignment="1">
      <alignment vertical="center"/>
    </xf>
    <xf numFmtId="165" fontId="52" fillId="5" borderId="2" xfId="1" applyNumberFormat="1" applyFont="1" applyFill="1" applyBorder="1" applyAlignment="1">
      <alignment vertical="center"/>
    </xf>
    <xf numFmtId="165" fontId="52" fillId="5" borderId="37" xfId="1" applyNumberFormat="1" applyFont="1" applyFill="1" applyBorder="1" applyAlignment="1">
      <alignment vertical="center"/>
    </xf>
    <xf numFmtId="165" fontId="52" fillId="5" borderId="80" xfId="1" applyNumberFormat="1" applyFont="1" applyFill="1" applyBorder="1" applyAlignment="1">
      <alignment vertical="center"/>
    </xf>
    <xf numFmtId="165" fontId="50" fillId="5" borderId="80" xfId="1" applyNumberFormat="1" applyFont="1" applyFill="1" applyBorder="1" applyAlignment="1">
      <alignment vertical="center"/>
    </xf>
    <xf numFmtId="0" fontId="47" fillId="5" borderId="80" xfId="0" applyFont="1" applyFill="1" applyBorder="1" applyAlignment="1">
      <alignment wrapText="1"/>
    </xf>
    <xf numFmtId="43" fontId="50" fillId="5" borderId="81" xfId="1" applyNumberFormat="1" applyFont="1" applyFill="1" applyBorder="1" applyAlignment="1">
      <alignment vertical="center"/>
    </xf>
    <xf numFmtId="165" fontId="52" fillId="5" borderId="38" xfId="1" applyNumberFormat="1" applyFont="1" applyFill="1" applyBorder="1" applyAlignment="1">
      <alignment vertical="center"/>
    </xf>
    <xf numFmtId="0" fontId="47" fillId="5" borderId="38" xfId="0" applyFont="1" applyFill="1" applyBorder="1" applyAlignment="1">
      <alignment wrapText="1"/>
    </xf>
    <xf numFmtId="165" fontId="52" fillId="5" borderId="81" xfId="1" applyNumberFormat="1" applyFont="1" applyFill="1" applyBorder="1" applyAlignment="1">
      <alignment vertical="center"/>
    </xf>
    <xf numFmtId="165" fontId="52" fillId="5" borderId="88" xfId="1" applyNumberFormat="1" applyFont="1" applyFill="1" applyBorder="1" applyAlignment="1">
      <alignment vertical="center"/>
    </xf>
    <xf numFmtId="0" fontId="50" fillId="5" borderId="88" xfId="1" applyFont="1" applyFill="1" applyBorder="1" applyAlignment="1">
      <alignment vertical="center"/>
    </xf>
    <xf numFmtId="0" fontId="47" fillId="5" borderId="121" xfId="0" applyFont="1" applyFill="1" applyBorder="1"/>
    <xf numFmtId="4" fontId="47" fillId="5" borderId="1" xfId="0" applyNumberFormat="1" applyFont="1" applyFill="1" applyBorder="1"/>
    <xf numFmtId="43" fontId="47" fillId="5" borderId="1" xfId="0" applyNumberFormat="1" applyFont="1" applyFill="1" applyBorder="1" applyAlignment="1">
      <alignment vertical="center"/>
    </xf>
    <xf numFmtId="0" fontId="47" fillId="5" borderId="38" xfId="0" applyFont="1" applyFill="1" applyBorder="1"/>
    <xf numFmtId="4" fontId="49" fillId="5" borderId="38" xfId="0" applyNumberFormat="1" applyFont="1" applyFill="1" applyBorder="1" applyAlignment="1">
      <alignment vertical="center"/>
    </xf>
    <xf numFmtId="0" fontId="46" fillId="5" borderId="38" xfId="0" applyFont="1" applyFill="1" applyBorder="1" applyAlignment="1">
      <alignment wrapText="1"/>
    </xf>
    <xf numFmtId="4" fontId="47" fillId="5" borderId="67" xfId="0" applyNumberFormat="1" applyFont="1" applyFill="1" applyBorder="1"/>
    <xf numFmtId="4" fontId="47" fillId="5" borderId="2" xfId="0" applyNumberFormat="1" applyFont="1" applyFill="1" applyBorder="1"/>
    <xf numFmtId="0" fontId="47" fillId="5" borderId="2" xfId="0" applyFont="1" applyFill="1" applyBorder="1" applyAlignment="1">
      <alignment vertical="center"/>
    </xf>
    <xf numFmtId="2" fontId="47" fillId="5" borderId="2" xfId="0" applyNumberFormat="1" applyFont="1" applyFill="1" applyBorder="1" applyAlignment="1">
      <alignment vertical="center"/>
    </xf>
    <xf numFmtId="4" fontId="51" fillId="5" borderId="66" xfId="0" applyNumberFormat="1" applyFont="1" applyFill="1" applyBorder="1"/>
    <xf numFmtId="0" fontId="47" fillId="5" borderId="65" xfId="0" applyFont="1" applyFill="1" applyBorder="1"/>
    <xf numFmtId="0" fontId="46" fillId="5" borderId="46" xfId="0" applyFont="1" applyFill="1" applyBorder="1" applyAlignment="1">
      <alignment wrapText="1"/>
    </xf>
    <xf numFmtId="0" fontId="46" fillId="5" borderId="1" xfId="0" applyFont="1" applyFill="1" applyBorder="1" applyAlignment="1">
      <alignment wrapText="1"/>
    </xf>
    <xf numFmtId="2" fontId="50" fillId="5" borderId="1" xfId="1" applyNumberFormat="1" applyFont="1" applyFill="1" applyBorder="1" applyAlignment="1">
      <alignment vertical="center"/>
    </xf>
    <xf numFmtId="2" fontId="50" fillId="5" borderId="45" xfId="1" applyNumberFormat="1" applyFont="1" applyFill="1" applyBorder="1" applyAlignment="1">
      <alignment vertical="center"/>
    </xf>
    <xf numFmtId="4" fontId="49" fillId="5" borderId="43" xfId="0" applyNumberFormat="1" applyFont="1" applyFill="1" applyBorder="1" applyAlignment="1">
      <alignment vertical="center"/>
    </xf>
    <xf numFmtId="165" fontId="47" fillId="5" borderId="0" xfId="0" applyNumberFormat="1" applyFont="1" applyFill="1"/>
    <xf numFmtId="4" fontId="49" fillId="5" borderId="47" xfId="0" applyNumberFormat="1" applyFont="1" applyFill="1" applyBorder="1" applyAlignment="1">
      <alignment vertical="center" wrapText="1"/>
    </xf>
    <xf numFmtId="4" fontId="49" fillId="5" borderId="51" xfId="0" applyNumberFormat="1" applyFont="1" applyFill="1" applyBorder="1" applyAlignment="1">
      <alignment vertical="center"/>
    </xf>
    <xf numFmtId="4" fontId="51" fillId="5" borderId="72" xfId="0" applyNumberFormat="1" applyFont="1" applyFill="1" applyBorder="1" applyAlignment="1">
      <alignment vertical="center"/>
    </xf>
    <xf numFmtId="2" fontId="50" fillId="5" borderId="37" xfId="1" applyNumberFormat="1" applyFont="1" applyFill="1" applyBorder="1" applyAlignment="1">
      <alignment vertical="center"/>
    </xf>
    <xf numFmtId="2" fontId="50" fillId="5" borderId="74" xfId="1" applyNumberFormat="1" applyFont="1" applyFill="1" applyBorder="1" applyAlignment="1">
      <alignment vertical="center"/>
    </xf>
    <xf numFmtId="165" fontId="47" fillId="5" borderId="66" xfId="0" applyNumberFormat="1" applyFont="1" applyFill="1" applyBorder="1"/>
    <xf numFmtId="4" fontId="49" fillId="5" borderId="49" xfId="0" applyNumberFormat="1" applyFont="1" applyFill="1" applyBorder="1" applyAlignment="1">
      <alignment vertical="center" wrapText="1"/>
    </xf>
    <xf numFmtId="0" fontId="48" fillId="5" borderId="63" xfId="0" applyFont="1" applyFill="1" applyBorder="1" applyAlignment="1">
      <alignment horizontal="center" vertical="center" wrapText="1"/>
    </xf>
    <xf numFmtId="4" fontId="49" fillId="5" borderId="52" xfId="0" applyNumberFormat="1" applyFont="1" applyFill="1" applyBorder="1" applyAlignment="1">
      <alignment vertical="center"/>
    </xf>
    <xf numFmtId="4" fontId="51" fillId="5" borderId="49" xfId="0" applyNumberFormat="1" applyFont="1" applyFill="1" applyBorder="1" applyAlignment="1">
      <alignment vertical="center"/>
    </xf>
    <xf numFmtId="165" fontId="51" fillId="5" borderId="66" xfId="0" applyNumberFormat="1" applyFont="1" applyFill="1" applyBorder="1"/>
    <xf numFmtId="165" fontId="47" fillId="5" borderId="67" xfId="0" applyNumberFormat="1" applyFont="1" applyFill="1" applyBorder="1"/>
    <xf numFmtId="165" fontId="52" fillId="5" borderId="46" xfId="0" applyNumberFormat="1" applyFont="1" applyFill="1" applyBorder="1" applyAlignment="1">
      <alignment vertical="center"/>
    </xf>
    <xf numFmtId="0" fontId="47" fillId="5" borderId="33" xfId="0" applyFont="1" applyFill="1" applyBorder="1"/>
    <xf numFmtId="0" fontId="47" fillId="5" borderId="55" xfId="0" applyFont="1" applyFill="1" applyBorder="1"/>
    <xf numFmtId="4" fontId="49" fillId="5" borderId="50" xfId="0" applyNumberFormat="1" applyFont="1" applyFill="1" applyBorder="1" applyAlignment="1">
      <alignment vertical="center" wrapText="1"/>
    </xf>
    <xf numFmtId="0" fontId="47" fillId="5" borderId="64" xfId="0" applyFont="1" applyFill="1" applyBorder="1" applyAlignment="1">
      <alignment vertical="center" wrapText="1"/>
    </xf>
    <xf numFmtId="0" fontId="47" fillId="5" borderId="34" xfId="0" applyFont="1" applyFill="1" applyBorder="1"/>
    <xf numFmtId="4" fontId="51" fillId="5" borderId="50" xfId="0" applyNumberFormat="1" applyFont="1" applyFill="1" applyBorder="1" applyAlignment="1">
      <alignment vertical="center"/>
    </xf>
    <xf numFmtId="0" fontId="51" fillId="5" borderId="66" xfId="0" applyFont="1" applyFill="1" applyBorder="1"/>
    <xf numFmtId="0" fontId="47" fillId="5" borderId="67" xfId="0" applyFont="1" applyFill="1" applyBorder="1"/>
    <xf numFmtId="165" fontId="52" fillId="5" borderId="80" xfId="0" applyNumberFormat="1" applyFont="1" applyFill="1" applyBorder="1" applyAlignment="1">
      <alignment vertical="center"/>
    </xf>
    <xf numFmtId="2" fontId="47" fillId="5" borderId="80" xfId="0" applyNumberFormat="1" applyFont="1" applyFill="1" applyBorder="1" applyAlignment="1">
      <alignment vertical="center"/>
    </xf>
    <xf numFmtId="43" fontId="47" fillId="5" borderId="83" xfId="2" applyNumberFormat="1" applyFont="1" applyFill="1" applyBorder="1" applyAlignment="1">
      <alignment vertical="center" wrapText="1"/>
    </xf>
    <xf numFmtId="0" fontId="49" fillId="5" borderId="80" xfId="0" applyFont="1" applyFill="1" applyBorder="1" applyAlignment="1">
      <alignment vertical="center"/>
    </xf>
    <xf numFmtId="165" fontId="47" fillId="5" borderId="80" xfId="0" applyNumberFormat="1" applyFont="1" applyFill="1" applyBorder="1" applyAlignment="1">
      <alignment vertical="center"/>
    </xf>
    <xf numFmtId="43" fontId="47" fillId="5" borderId="104" xfId="0" applyNumberFormat="1" applyFont="1" applyFill="1" applyBorder="1"/>
    <xf numFmtId="2" fontId="47" fillId="5" borderId="38" xfId="0" applyNumberFormat="1" applyFont="1" applyFill="1" applyBorder="1" applyAlignment="1">
      <alignment vertical="center"/>
    </xf>
    <xf numFmtId="43" fontId="47" fillId="5" borderId="73" xfId="2" applyNumberFormat="1" applyFont="1" applyFill="1" applyBorder="1" applyAlignment="1">
      <alignment vertical="center" wrapText="1"/>
    </xf>
    <xf numFmtId="0" fontId="49" fillId="5" borderId="38" xfId="0" applyFont="1" applyFill="1" applyBorder="1" applyAlignment="1">
      <alignment vertical="center"/>
    </xf>
    <xf numFmtId="43" fontId="47" fillId="5" borderId="38" xfId="2" applyNumberFormat="1" applyFont="1" applyFill="1" applyBorder="1" applyAlignment="1">
      <alignment vertical="center" wrapText="1"/>
    </xf>
    <xf numFmtId="0" fontId="47" fillId="5" borderId="80" xfId="0" applyFont="1" applyFill="1" applyBorder="1" applyAlignment="1">
      <alignment vertical="center" wrapText="1"/>
    </xf>
    <xf numFmtId="0" fontId="46" fillId="5" borderId="80" xfId="0" applyFont="1" applyFill="1" applyBorder="1" applyAlignment="1">
      <alignment wrapText="1"/>
    </xf>
    <xf numFmtId="0" fontId="47" fillId="5" borderId="38" xfId="0" applyFont="1" applyFill="1" applyBorder="1" applyAlignment="1">
      <alignment vertical="center" wrapText="1"/>
    </xf>
    <xf numFmtId="43" fontId="51" fillId="5" borderId="85" xfId="0" applyNumberFormat="1" applyFont="1" applyFill="1" applyBorder="1"/>
    <xf numFmtId="165" fontId="52" fillId="5" borderId="83" xfId="0" applyNumberFormat="1" applyFont="1" applyFill="1" applyBorder="1" applyAlignment="1">
      <alignment vertical="center"/>
    </xf>
    <xf numFmtId="43" fontId="47" fillId="5" borderId="80" xfId="0" applyNumberFormat="1" applyFont="1" applyFill="1" applyBorder="1" applyAlignment="1">
      <alignment vertical="center"/>
    </xf>
    <xf numFmtId="165" fontId="52" fillId="5" borderId="81" xfId="0" applyNumberFormat="1" applyFont="1" applyFill="1" applyBorder="1" applyAlignment="1">
      <alignment horizontal="right"/>
    </xf>
    <xf numFmtId="165" fontId="47" fillId="5" borderId="81" xfId="0" applyNumberFormat="1" applyFont="1" applyFill="1" applyBorder="1" applyAlignment="1">
      <alignment horizontal="right" vertical="center"/>
    </xf>
    <xf numFmtId="165" fontId="51" fillId="5" borderId="80" xfId="0" applyNumberFormat="1" applyFont="1" applyFill="1" applyBorder="1" applyAlignment="1">
      <alignment vertical="center"/>
    </xf>
    <xf numFmtId="165" fontId="51" fillId="5" borderId="37" xfId="0" applyNumberFormat="1" applyFont="1" applyFill="1" applyBorder="1" applyAlignment="1">
      <alignment vertical="center"/>
    </xf>
    <xf numFmtId="165" fontId="47" fillId="5" borderId="2" xfId="0" applyNumberFormat="1" applyFont="1" applyFill="1" applyBorder="1" applyAlignment="1">
      <alignment horizontal="right" vertical="center"/>
    </xf>
    <xf numFmtId="165" fontId="51" fillId="5" borderId="38" xfId="0" applyNumberFormat="1" applyFont="1" applyFill="1" applyBorder="1" applyAlignment="1">
      <alignment vertical="center"/>
    </xf>
    <xf numFmtId="0" fontId="0" fillId="5" borderId="0" xfId="0" applyFill="1"/>
    <xf numFmtId="165" fontId="53" fillId="5" borderId="83" xfId="0" applyNumberFormat="1" applyFont="1" applyFill="1" applyBorder="1" applyAlignment="1">
      <alignment horizontal="right"/>
    </xf>
    <xf numFmtId="0" fontId="47" fillId="5" borderId="83" xfId="0" applyFont="1" applyFill="1" applyBorder="1"/>
    <xf numFmtId="0" fontId="47" fillId="5" borderId="100" xfId="0" applyFont="1" applyFill="1" applyBorder="1"/>
    <xf numFmtId="0" fontId="47" fillId="5" borderId="113" xfId="0" applyFont="1" applyFill="1" applyBorder="1"/>
    <xf numFmtId="165" fontId="53" fillId="5" borderId="43" xfId="0" applyNumberFormat="1" applyFont="1" applyFill="1" applyBorder="1" applyAlignment="1">
      <alignment horizontal="right"/>
    </xf>
    <xf numFmtId="0" fontId="47" fillId="5" borderId="74" xfId="0" applyFont="1" applyFill="1" applyBorder="1"/>
    <xf numFmtId="165" fontId="53" fillId="5" borderId="66" xfId="0" applyNumberFormat="1" applyFont="1" applyFill="1" applyBorder="1" applyAlignment="1">
      <alignment horizontal="right"/>
    </xf>
    <xf numFmtId="0" fontId="47" fillId="5" borderId="75" xfId="0" applyFont="1" applyFill="1" applyBorder="1"/>
    <xf numFmtId="0" fontId="47" fillId="5" borderId="78" xfId="0" applyFont="1" applyFill="1" applyBorder="1"/>
    <xf numFmtId="44" fontId="53" fillId="5" borderId="83" xfId="0" applyNumberFormat="1" applyFont="1" applyFill="1" applyBorder="1" applyAlignment="1">
      <alignment horizontal="right"/>
    </xf>
    <xf numFmtId="44" fontId="47" fillId="5" borderId="83" xfId="0" applyNumberFormat="1" applyFont="1" applyFill="1" applyBorder="1"/>
    <xf numFmtId="44" fontId="47" fillId="5" borderId="100" xfId="0" applyNumberFormat="1" applyFont="1" applyFill="1" applyBorder="1"/>
    <xf numFmtId="2" fontId="47" fillId="5" borderId="83" xfId="0" applyNumberFormat="1" applyFont="1" applyFill="1" applyBorder="1" applyAlignment="1">
      <alignment vertical="center"/>
    </xf>
    <xf numFmtId="44" fontId="47" fillId="5" borderId="68" xfId="0" applyNumberFormat="1" applyFont="1" applyFill="1" applyBorder="1"/>
    <xf numFmtId="0" fontId="51" fillId="5" borderId="101" xfId="0" applyFont="1" applyFill="1" applyBorder="1"/>
    <xf numFmtId="44" fontId="47" fillId="5" borderId="113" xfId="0" applyNumberFormat="1" applyFont="1" applyFill="1" applyBorder="1"/>
    <xf numFmtId="0" fontId="47" fillId="5" borderId="102" xfId="0" applyFont="1" applyFill="1" applyBorder="1"/>
    <xf numFmtId="0" fontId="48" fillId="5" borderId="43" xfId="0" applyFont="1" applyFill="1" applyBorder="1" applyAlignment="1">
      <alignment wrapText="1"/>
    </xf>
    <xf numFmtId="165" fontId="47" fillId="5" borderId="75" xfId="0" applyNumberFormat="1" applyFont="1" applyFill="1" applyBorder="1"/>
    <xf numFmtId="165" fontId="47" fillId="5" borderId="78" xfId="0" applyNumberFormat="1" applyFont="1" applyFill="1" applyBorder="1"/>
    <xf numFmtId="165" fontId="47" fillId="5" borderId="83" xfId="0" applyNumberFormat="1" applyFont="1" applyFill="1" applyBorder="1"/>
    <xf numFmtId="165" fontId="47" fillId="5" borderId="100" xfId="0" applyNumberFormat="1" applyFont="1" applyFill="1" applyBorder="1"/>
    <xf numFmtId="165" fontId="47" fillId="5" borderId="113" xfId="0" applyNumberFormat="1" applyFont="1" applyFill="1" applyBorder="1"/>
    <xf numFmtId="0" fontId="47" fillId="5" borderId="135" xfId="0" applyFont="1" applyFill="1" applyBorder="1" applyAlignment="1">
      <alignment horizontal="center" wrapText="1"/>
    </xf>
    <xf numFmtId="165" fontId="47" fillId="5" borderId="74" xfId="0" applyNumberFormat="1" applyFont="1" applyFill="1" applyBorder="1"/>
    <xf numFmtId="165" fontId="47" fillId="5" borderId="40" xfId="0" applyNumberFormat="1" applyFont="1" applyFill="1" applyBorder="1"/>
    <xf numFmtId="0" fontId="47" fillId="5" borderId="136" xfId="0" applyFont="1" applyFill="1" applyBorder="1" applyAlignment="1">
      <alignment horizontal="center" wrapText="1"/>
    </xf>
    <xf numFmtId="165" fontId="53" fillId="5" borderId="81" xfId="0" applyNumberFormat="1" applyFont="1" applyFill="1" applyBorder="1" applyAlignment="1">
      <alignment horizontal="right"/>
    </xf>
    <xf numFmtId="44" fontId="47" fillId="5" borderId="81" xfId="0" applyNumberFormat="1" applyFont="1" applyFill="1" applyBorder="1"/>
    <xf numFmtId="166" fontId="47" fillId="5" borderId="81" xfId="0" applyNumberFormat="1" applyFont="1" applyFill="1" applyBorder="1"/>
    <xf numFmtId="0" fontId="47" fillId="5" borderId="80" xfId="0" applyFont="1" applyFill="1" applyBorder="1"/>
    <xf numFmtId="44" fontId="47" fillId="5" borderId="80" xfId="0" applyNumberFormat="1" applyFont="1" applyFill="1" applyBorder="1"/>
    <xf numFmtId="44" fontId="47" fillId="5" borderId="2" xfId="0" applyNumberFormat="1" applyFont="1" applyFill="1" applyBorder="1"/>
    <xf numFmtId="43" fontId="47" fillId="5" borderId="104" xfId="3" applyFont="1" applyFill="1" applyBorder="1"/>
    <xf numFmtId="0" fontId="47" fillId="5" borderId="103" xfId="0" applyFont="1" applyFill="1" applyBorder="1"/>
    <xf numFmtId="165" fontId="53" fillId="5" borderId="2" xfId="0" applyNumberFormat="1" applyFont="1" applyFill="1" applyBorder="1" applyAlignment="1">
      <alignment horizontal="right"/>
    </xf>
    <xf numFmtId="44" fontId="47" fillId="5" borderId="37" xfId="0" applyNumberFormat="1" applyFont="1" applyFill="1" applyBorder="1"/>
    <xf numFmtId="44" fontId="47" fillId="5" borderId="1" xfId="0" applyNumberFormat="1" applyFont="1" applyFill="1" applyBorder="1"/>
    <xf numFmtId="165" fontId="53" fillId="5" borderId="37" xfId="0" applyNumberFormat="1" applyFont="1" applyFill="1" applyBorder="1" applyAlignment="1">
      <alignment horizontal="right"/>
    </xf>
    <xf numFmtId="44" fontId="47" fillId="5" borderId="38" xfId="0" applyNumberFormat="1" applyFont="1" applyFill="1" applyBorder="1"/>
    <xf numFmtId="43" fontId="47" fillId="5" borderId="37" xfId="0" applyNumberFormat="1" applyFont="1" applyFill="1" applyBorder="1" applyAlignment="1">
      <alignment vertical="center"/>
    </xf>
    <xf numFmtId="43" fontId="47" fillId="5" borderId="2" xfId="0" applyNumberFormat="1" applyFont="1" applyFill="1" applyBorder="1" applyAlignment="1">
      <alignment horizontal="left" vertical="center"/>
    </xf>
    <xf numFmtId="165" fontId="47" fillId="5" borderId="2" xfId="0" applyNumberFormat="1" applyFont="1" applyFill="1" applyBorder="1"/>
    <xf numFmtId="43" fontId="47" fillId="5" borderId="2" xfId="0" applyNumberFormat="1" applyFont="1" applyFill="1" applyBorder="1"/>
    <xf numFmtId="43" fontId="47" fillId="5" borderId="38" xfId="0" applyNumberFormat="1" applyFont="1" applyFill="1" applyBorder="1" applyAlignment="1">
      <alignment vertical="center"/>
    </xf>
    <xf numFmtId="165" fontId="53" fillId="5" borderId="103" xfId="0" applyNumberFormat="1" applyFont="1" applyFill="1" applyBorder="1" applyAlignment="1">
      <alignment horizontal="right"/>
    </xf>
    <xf numFmtId="165" fontId="53" fillId="5" borderId="59" xfId="0" applyNumberFormat="1" applyFont="1" applyFill="1" applyBorder="1" applyAlignment="1">
      <alignment horizontal="right"/>
    </xf>
    <xf numFmtId="0" fontId="47" fillId="5" borderId="58" xfId="0" applyFont="1" applyFill="1" applyBorder="1"/>
    <xf numFmtId="43" fontId="30" fillId="5" borderId="48" xfId="0" applyNumberFormat="1" applyFont="1" applyFill="1" applyBorder="1"/>
    <xf numFmtId="165" fontId="47" fillId="5" borderId="37" xfId="0" applyNumberFormat="1" applyFont="1" applyFill="1" applyBorder="1"/>
    <xf numFmtId="43" fontId="3" fillId="5" borderId="0" xfId="0" applyNumberFormat="1" applyFont="1" applyFill="1"/>
    <xf numFmtId="0" fontId="3" fillId="5" borderId="0" xfId="0" applyFont="1" applyFill="1"/>
    <xf numFmtId="165" fontId="53" fillId="5" borderId="51" xfId="0" applyNumberFormat="1" applyFont="1" applyFill="1" applyBorder="1" applyAlignment="1">
      <alignment horizontal="right"/>
    </xf>
    <xf numFmtId="0" fontId="47" fillId="5" borderId="42" xfId="0" applyFont="1" applyFill="1" applyBorder="1"/>
    <xf numFmtId="0" fontId="47" fillId="5" borderId="46" xfId="0" applyFont="1" applyFill="1" applyBorder="1" applyAlignment="1">
      <alignment wrapText="1"/>
    </xf>
    <xf numFmtId="165" fontId="53" fillId="5" borderId="57" xfId="0" applyNumberFormat="1" applyFont="1" applyFill="1" applyBorder="1" applyAlignment="1">
      <alignment horizontal="right"/>
    </xf>
    <xf numFmtId="0" fontId="47" fillId="5" borderId="56" xfId="0" applyFont="1" applyFill="1" applyBorder="1"/>
    <xf numFmtId="2" fontId="50" fillId="5" borderId="48" xfId="1" applyNumberFormat="1" applyFont="1" applyFill="1" applyBorder="1" applyAlignment="1">
      <alignment vertical="center"/>
    </xf>
    <xf numFmtId="2" fontId="50" fillId="5" borderId="140" xfId="1" applyNumberFormat="1" applyFont="1" applyFill="1" applyBorder="1" applyAlignment="1">
      <alignment vertical="center"/>
    </xf>
    <xf numFmtId="0" fontId="47" fillId="5" borderId="141" xfId="0" applyFont="1" applyFill="1" applyBorder="1"/>
    <xf numFmtId="0" fontId="47" fillId="5" borderId="144" xfId="0" applyFont="1" applyFill="1" applyBorder="1"/>
    <xf numFmtId="165" fontId="53" fillId="5" borderId="61" xfId="0" applyNumberFormat="1" applyFont="1" applyFill="1" applyBorder="1" applyAlignment="1">
      <alignment horizontal="right"/>
    </xf>
    <xf numFmtId="0" fontId="47" fillId="5" borderId="60" xfId="0" applyFont="1" applyFill="1" applyBorder="1"/>
    <xf numFmtId="0" fontId="47" fillId="5" borderId="61" xfId="0" applyFont="1" applyFill="1" applyBorder="1"/>
    <xf numFmtId="0" fontId="47" fillId="5" borderId="46" xfId="0" applyFont="1" applyFill="1" applyBorder="1"/>
    <xf numFmtId="2" fontId="50" fillId="5" borderId="46" xfId="1" applyNumberFormat="1" applyFont="1" applyFill="1" applyBorder="1" applyAlignment="1">
      <alignment vertical="center"/>
    </xf>
    <xf numFmtId="2" fontId="50" fillId="5" borderId="70" xfId="1" applyNumberFormat="1" applyFont="1" applyFill="1" applyBorder="1" applyAlignment="1">
      <alignment vertical="center"/>
    </xf>
    <xf numFmtId="0" fontId="47" fillId="5" borderId="148" xfId="0" applyFont="1" applyFill="1" applyBorder="1"/>
    <xf numFmtId="43" fontId="47" fillId="5" borderId="54" xfId="0" applyNumberFormat="1" applyFont="1" applyFill="1" applyBorder="1"/>
    <xf numFmtId="43" fontId="47" fillId="5" borderId="56" xfId="0" applyNumberFormat="1" applyFont="1" applyFill="1" applyBorder="1"/>
    <xf numFmtId="43" fontId="47" fillId="5" borderId="28" xfId="0" applyNumberFormat="1" applyFont="1" applyFill="1" applyBorder="1"/>
    <xf numFmtId="43" fontId="47" fillId="5" borderId="140" xfId="0" applyNumberFormat="1" applyFont="1" applyFill="1" applyBorder="1" applyAlignment="1">
      <alignment vertical="center"/>
    </xf>
    <xf numFmtId="165" fontId="51" fillId="5" borderId="143" xfId="0" applyNumberFormat="1" applyFont="1" applyFill="1" applyBorder="1"/>
    <xf numFmtId="1" fontId="50" fillId="5" borderId="100" xfId="1" applyNumberFormat="1" applyFont="1" applyFill="1" applyBorder="1" applyAlignment="1">
      <alignment vertical="center"/>
    </xf>
    <xf numFmtId="0" fontId="47" fillId="5" borderId="125" xfId="0" applyFont="1" applyFill="1" applyBorder="1"/>
    <xf numFmtId="165" fontId="53" fillId="5" borderId="106" xfId="0" applyNumberFormat="1" applyFont="1" applyFill="1" applyBorder="1" applyAlignment="1">
      <alignment horizontal="right"/>
    </xf>
    <xf numFmtId="0" fontId="47" fillId="5" borderId="105" xfId="0" applyFont="1" applyFill="1" applyBorder="1"/>
    <xf numFmtId="165" fontId="47" fillId="5" borderId="87" xfId="0" applyNumberFormat="1" applyFont="1" applyFill="1" applyBorder="1" applyAlignment="1">
      <alignment vertical="center"/>
    </xf>
    <xf numFmtId="0" fontId="47" fillId="5" borderId="126" xfId="0" applyFont="1" applyFill="1" applyBorder="1"/>
    <xf numFmtId="0" fontId="47" fillId="5" borderId="106" xfId="0" applyFont="1" applyFill="1" applyBorder="1"/>
    <xf numFmtId="165" fontId="53" fillId="5" borderId="53" xfId="0" applyNumberFormat="1" applyFont="1" applyFill="1" applyBorder="1" applyAlignment="1">
      <alignment horizontal="right"/>
    </xf>
    <xf numFmtId="0" fontId="47" fillId="5" borderId="45" xfId="0" applyFont="1" applyFill="1" applyBorder="1"/>
    <xf numFmtId="0" fontId="47" fillId="5" borderId="53" xfId="0" applyFont="1" applyFill="1" applyBorder="1"/>
    <xf numFmtId="43" fontId="47" fillId="5" borderId="37" xfId="0" applyNumberFormat="1" applyFont="1" applyFill="1" applyBorder="1"/>
    <xf numFmtId="43" fontId="47" fillId="5" borderId="43" xfId="0" applyNumberFormat="1" applyFont="1" applyFill="1" applyBorder="1"/>
    <xf numFmtId="165" fontId="53" fillId="5" borderId="0" xfId="0" applyNumberFormat="1" applyFont="1" applyFill="1" applyAlignment="1">
      <alignment horizontal="right"/>
    </xf>
    <xf numFmtId="43" fontId="47" fillId="5" borderId="0" xfId="0" applyNumberFormat="1" applyFont="1" applyFill="1" applyAlignment="1">
      <alignment vertical="center"/>
    </xf>
    <xf numFmtId="0" fontId="47" fillId="5" borderId="0" xfId="0" applyFont="1" applyFill="1" applyAlignment="1">
      <alignment horizontal="center"/>
    </xf>
    <xf numFmtId="2" fontId="50" fillId="5" borderId="0" xfId="1" applyNumberFormat="1" applyFont="1" applyFill="1" applyBorder="1" applyAlignment="1">
      <alignment vertical="center"/>
    </xf>
    <xf numFmtId="165" fontId="47" fillId="5" borderId="0" xfId="0" applyNumberFormat="1" applyFont="1" applyFill="1" applyAlignment="1">
      <alignment horizontal="left" indent="1"/>
    </xf>
    <xf numFmtId="165" fontId="47" fillId="5" borderId="0" xfId="0" applyNumberFormat="1" applyFont="1" applyFill="1" applyAlignment="1">
      <alignment horizontal="right"/>
    </xf>
    <xf numFmtId="165" fontId="51" fillId="5" borderId="0" xfId="0" applyNumberFormat="1" applyFont="1" applyFill="1" applyAlignment="1">
      <alignment horizontal="right"/>
    </xf>
    <xf numFmtId="0" fontId="1" fillId="0" borderId="0" xfId="0" applyFont="1"/>
    <xf numFmtId="0" fontId="1" fillId="0" borderId="2" xfId="0" applyFont="1" applyBorder="1"/>
    <xf numFmtId="0" fontId="59" fillId="0" borderId="2" xfId="0" applyFont="1" applyBorder="1"/>
    <xf numFmtId="0" fontId="4" fillId="0" borderId="2" xfId="0" applyFont="1" applyBorder="1"/>
    <xf numFmtId="0" fontId="61" fillId="0" borderId="2" xfId="0" applyFont="1" applyBorder="1"/>
    <xf numFmtId="17" fontId="45" fillId="2" borderId="2" xfId="0" applyNumberFormat="1" applyFont="1" applyFill="1" applyBorder="1" applyAlignment="1">
      <alignment horizontal="center" vertical="center"/>
    </xf>
    <xf numFmtId="0" fontId="47" fillId="5" borderId="94" xfId="0" applyFont="1" applyFill="1" applyBorder="1" applyAlignment="1">
      <alignment horizontal="center" vertical="center" wrapText="1"/>
    </xf>
    <xf numFmtId="0" fontId="47" fillId="5" borderId="69" xfId="0" applyFont="1" applyFill="1" applyBorder="1" applyAlignment="1">
      <alignment horizontal="center" vertical="center" wrapText="1"/>
    </xf>
    <xf numFmtId="0" fontId="47" fillId="5" borderId="76" xfId="0" applyFont="1" applyFill="1" applyBorder="1" applyAlignment="1">
      <alignment horizontal="center" vertical="center" wrapText="1"/>
    </xf>
    <xf numFmtId="0" fontId="47" fillId="5" borderId="119" xfId="0" applyFont="1" applyFill="1" applyBorder="1" applyAlignment="1">
      <alignment horizontal="center" vertical="center" wrapText="1"/>
    </xf>
    <xf numFmtId="0" fontId="47" fillId="5" borderId="80" xfId="0" applyFont="1" applyFill="1" applyBorder="1" applyAlignment="1">
      <alignment horizontal="center" wrapText="1"/>
    </xf>
    <xf numFmtId="0" fontId="47" fillId="5" borderId="38" xfId="0" applyFont="1" applyFill="1" applyBorder="1" applyAlignment="1">
      <alignment horizontal="center" wrapText="1"/>
    </xf>
    <xf numFmtId="0" fontId="47" fillId="5" borderId="0" xfId="0" applyFont="1" applyFill="1" applyAlignment="1">
      <alignment horizontal="center" wrapText="1"/>
    </xf>
    <xf numFmtId="0" fontId="47" fillId="5" borderId="121" xfId="0" applyFont="1" applyFill="1" applyBorder="1" applyAlignment="1">
      <alignment horizontal="center" wrapText="1"/>
    </xf>
    <xf numFmtId="0" fontId="48" fillId="5" borderId="38" xfId="0" applyFont="1" applyFill="1" applyBorder="1" applyAlignment="1">
      <alignment horizontal="center" vertical="center" wrapText="1"/>
    </xf>
    <xf numFmtId="0" fontId="48" fillId="5" borderId="87" xfId="0" applyFont="1" applyFill="1" applyBorder="1" applyAlignment="1">
      <alignment horizontal="center" vertical="center" wrapText="1"/>
    </xf>
    <xf numFmtId="0" fontId="47" fillId="5" borderId="134" xfId="0" applyFont="1" applyFill="1" applyBorder="1" applyAlignment="1">
      <alignment horizontal="center" wrapText="1"/>
    </xf>
    <xf numFmtId="0" fontId="48" fillId="5" borderId="80" xfId="0" applyFont="1" applyFill="1" applyBorder="1" applyAlignment="1">
      <alignment horizontal="center" vertical="center" wrapText="1"/>
    </xf>
    <xf numFmtId="0" fontId="46" fillId="5" borderId="38" xfId="0" applyFont="1" applyFill="1" applyBorder="1" applyAlignment="1">
      <alignment horizontal="center" wrapText="1"/>
    </xf>
    <xf numFmtId="0" fontId="47" fillId="5" borderId="38" xfId="0" applyFont="1" applyFill="1" applyBorder="1" applyAlignment="1">
      <alignment horizontal="center" vertical="center" wrapText="1"/>
    </xf>
    <xf numFmtId="0" fontId="47" fillId="5" borderId="80" xfId="0" applyFont="1" applyFill="1" applyBorder="1" applyAlignment="1">
      <alignment horizontal="center" vertical="center" wrapText="1"/>
    </xf>
    <xf numFmtId="0" fontId="47" fillId="5" borderId="87" xfId="0" applyFont="1" applyFill="1" applyBorder="1" applyAlignment="1">
      <alignment horizontal="center" vertical="center" wrapText="1"/>
    </xf>
    <xf numFmtId="0" fontId="47" fillId="5" borderId="46" xfId="0" applyFont="1" applyFill="1" applyBorder="1" applyAlignment="1">
      <alignment horizontal="center" vertical="center" wrapText="1"/>
    </xf>
    <xf numFmtId="0" fontId="46" fillId="5" borderId="46" xfId="0" applyFont="1" applyFill="1" applyBorder="1" applyAlignment="1">
      <alignment horizontal="center" wrapText="1"/>
    </xf>
    <xf numFmtId="0" fontId="48" fillId="5" borderId="80" xfId="0" applyFont="1" applyFill="1" applyBorder="1" applyAlignment="1">
      <alignment horizontal="center" vertical="center"/>
    </xf>
    <xf numFmtId="0" fontId="48" fillId="5" borderId="38" xfId="0" applyFont="1" applyFill="1" applyBorder="1" applyAlignment="1">
      <alignment horizontal="center" vertical="center"/>
    </xf>
    <xf numFmtId="0" fontId="47" fillId="5" borderId="48" xfId="0" applyFont="1" applyFill="1" applyBorder="1" applyAlignment="1">
      <alignment horizontal="center" vertical="center" wrapText="1"/>
    </xf>
    <xf numFmtId="0" fontId="47" fillId="5" borderId="38" xfId="0" applyFont="1" applyFill="1" applyBorder="1" applyAlignment="1">
      <alignment horizontal="center" vertical="center"/>
    </xf>
    <xf numFmtId="2" fontId="50" fillId="5" borderId="80" xfId="1" applyNumberFormat="1" applyFont="1" applyFill="1" applyBorder="1" applyAlignment="1">
      <alignment horizontal="center" vertical="center"/>
    </xf>
    <xf numFmtId="2" fontId="50" fillId="5" borderId="38" xfId="1" applyNumberFormat="1" applyFont="1" applyFill="1" applyBorder="1" applyAlignment="1">
      <alignment horizontal="center" vertical="center"/>
    </xf>
    <xf numFmtId="2" fontId="50" fillId="5" borderId="87" xfId="1" applyNumberFormat="1" applyFont="1" applyFill="1" applyBorder="1" applyAlignment="1">
      <alignment horizontal="center" vertical="center"/>
    </xf>
    <xf numFmtId="2" fontId="50" fillId="5" borderId="1" xfId="1" applyNumberFormat="1" applyFont="1" applyFill="1" applyBorder="1" applyAlignment="1">
      <alignment horizontal="center" vertical="center"/>
    </xf>
    <xf numFmtId="0" fontId="47" fillId="5" borderId="73" xfId="0" applyFont="1" applyFill="1" applyBorder="1" applyAlignment="1">
      <alignment horizontal="center" wrapText="1"/>
    </xf>
    <xf numFmtId="0" fontId="47" fillId="5" borderId="87" xfId="0" applyFont="1" applyFill="1" applyBorder="1" applyAlignment="1">
      <alignment horizontal="center" wrapText="1"/>
    </xf>
    <xf numFmtId="2" fontId="50" fillId="5" borderId="48" xfId="1" applyNumberFormat="1" applyFont="1" applyFill="1" applyBorder="1" applyAlignment="1">
      <alignment horizontal="center" vertical="center"/>
    </xf>
    <xf numFmtId="2" fontId="50" fillId="5" borderId="46" xfId="1" applyNumberFormat="1" applyFont="1" applyFill="1" applyBorder="1" applyAlignment="1">
      <alignment horizontal="center" vertical="center"/>
    </xf>
    <xf numFmtId="2" fontId="50" fillId="5" borderId="37" xfId="1" applyNumberFormat="1" applyFont="1" applyFill="1" applyBorder="1" applyAlignment="1">
      <alignment horizontal="center" vertical="center"/>
    </xf>
    <xf numFmtId="0" fontId="46" fillId="6" borderId="74" xfId="0" applyFont="1" applyFill="1" applyBorder="1" applyAlignment="1">
      <alignment horizontal="center"/>
    </xf>
    <xf numFmtId="0" fontId="46" fillId="6" borderId="39" xfId="0" applyFont="1" applyFill="1" applyBorder="1" applyAlignment="1">
      <alignment horizontal="center"/>
    </xf>
    <xf numFmtId="0" fontId="46" fillId="6" borderId="40" xfId="0" applyFont="1" applyFill="1" applyBorder="1" applyAlignment="1">
      <alignment horizontal="center"/>
    </xf>
    <xf numFmtId="43" fontId="47" fillId="5" borderId="37" xfId="0" applyNumberFormat="1" applyFont="1" applyFill="1" applyBorder="1" applyAlignment="1">
      <alignment horizontal="center" wrapText="1"/>
    </xf>
    <xf numFmtId="43" fontId="47" fillId="5" borderId="38" xfId="0" applyNumberFormat="1" applyFont="1" applyFill="1" applyBorder="1" applyAlignment="1">
      <alignment horizontal="center" wrapText="1"/>
    </xf>
    <xf numFmtId="43" fontId="47" fillId="5" borderId="87" xfId="0" applyNumberFormat="1" applyFont="1" applyFill="1" applyBorder="1" applyAlignment="1">
      <alignment horizontal="center" wrapText="1"/>
    </xf>
    <xf numFmtId="0" fontId="60" fillId="0" borderId="102" xfId="0" applyFont="1" applyBorder="1" applyAlignment="1">
      <alignment horizontal="left" vertical="center" wrapText="1"/>
    </xf>
    <xf numFmtId="0" fontId="60" fillId="0" borderId="67" xfId="0" applyFont="1" applyBorder="1" applyAlignment="1">
      <alignment horizontal="left" vertical="center" wrapText="1"/>
    </xf>
    <xf numFmtId="0" fontId="49" fillId="0" borderId="80" xfId="0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0" fontId="49" fillId="0" borderId="80" xfId="0" applyFont="1" applyBorder="1" applyAlignment="1">
      <alignment horizontal="center" vertical="center"/>
    </xf>
    <xf numFmtId="0" fontId="49" fillId="0" borderId="38" xfId="0" applyFont="1" applyBorder="1" applyAlignment="1">
      <alignment horizontal="center" vertical="center"/>
    </xf>
    <xf numFmtId="0" fontId="47" fillId="0" borderId="83" xfId="0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0" fontId="47" fillId="0" borderId="66" xfId="0" applyFont="1" applyBorder="1" applyAlignment="1">
      <alignment horizontal="center" vertical="center"/>
    </xf>
    <xf numFmtId="165" fontId="47" fillId="0" borderId="81" xfId="0" applyNumberFormat="1" applyFont="1" applyBorder="1" applyAlignment="1">
      <alignment horizontal="center" vertical="center" wrapText="1"/>
    </xf>
    <xf numFmtId="165" fontId="47" fillId="0" borderId="2" xfId="0" applyNumberFormat="1" applyFont="1" applyBorder="1" applyAlignment="1">
      <alignment horizontal="center" vertical="center" wrapText="1"/>
    </xf>
    <xf numFmtId="165" fontId="47" fillId="0" borderId="37" xfId="0" applyNumberFormat="1" applyFont="1" applyBorder="1" applyAlignment="1">
      <alignment horizontal="center" vertical="center" wrapText="1"/>
    </xf>
    <xf numFmtId="0" fontId="47" fillId="0" borderId="109" xfId="0" applyFont="1" applyBorder="1" applyAlignment="1">
      <alignment horizontal="center" vertical="center" wrapText="1"/>
    </xf>
    <xf numFmtId="0" fontId="47" fillId="0" borderId="76" xfId="0" applyFont="1" applyBorder="1" applyAlignment="1">
      <alignment horizontal="center" vertical="center" wrapText="1"/>
    </xf>
    <xf numFmtId="165" fontId="47" fillId="0" borderId="83" xfId="0" applyNumberFormat="1" applyFont="1" applyBorder="1" applyAlignment="1">
      <alignment horizontal="left" vertical="center" indent="1"/>
    </xf>
    <xf numFmtId="165" fontId="47" fillId="0" borderId="43" xfId="0" applyNumberFormat="1" applyFont="1" applyBorder="1" applyAlignment="1">
      <alignment horizontal="left" vertical="center" indent="1"/>
    </xf>
    <xf numFmtId="165" fontId="47" fillId="0" borderId="66" xfId="0" applyNumberFormat="1" applyFont="1" applyBorder="1" applyAlignment="1">
      <alignment horizontal="left" vertical="center" indent="1"/>
    </xf>
    <xf numFmtId="165" fontId="47" fillId="0" borderId="83" xfId="0" applyNumberFormat="1" applyFont="1" applyBorder="1" applyAlignment="1">
      <alignment horizontal="center" vertical="center" wrapText="1"/>
    </xf>
    <xf numFmtId="165" fontId="47" fillId="0" borderId="43" xfId="0" applyNumberFormat="1" applyFont="1" applyBorder="1" applyAlignment="1">
      <alignment horizontal="center" vertical="center" wrapText="1"/>
    </xf>
    <xf numFmtId="165" fontId="47" fillId="0" borderId="66" xfId="0" applyNumberFormat="1" applyFont="1" applyBorder="1" applyAlignment="1">
      <alignment horizontal="center" vertical="center" wrapText="1"/>
    </xf>
    <xf numFmtId="165" fontId="47" fillId="0" borderId="80" xfId="0" applyNumberFormat="1" applyFont="1" applyBorder="1" applyAlignment="1">
      <alignment horizontal="left" vertical="center" indent="1"/>
    </xf>
    <xf numFmtId="165" fontId="47" fillId="0" borderId="38" xfId="0" applyNumberFormat="1" applyFont="1" applyBorder="1" applyAlignment="1">
      <alignment horizontal="left" vertical="center" indent="1"/>
    </xf>
    <xf numFmtId="165" fontId="47" fillId="0" borderId="81" xfId="0" applyNumberFormat="1" applyFont="1" applyBorder="1" applyAlignment="1">
      <alignment horizontal="left" vertical="center" indent="1"/>
    </xf>
    <xf numFmtId="165" fontId="47" fillId="0" borderId="2" xfId="0" applyNumberFormat="1" applyFont="1" applyBorder="1" applyAlignment="1">
      <alignment horizontal="left" vertical="center" indent="1"/>
    </xf>
    <xf numFmtId="165" fontId="47" fillId="0" borderId="37" xfId="0" applyNumberFormat="1" applyFont="1" applyBorder="1" applyAlignment="1">
      <alignment horizontal="left" vertical="center" indent="1"/>
    </xf>
    <xf numFmtId="165" fontId="47" fillId="0" borderId="102" xfId="0" applyNumberFormat="1" applyFont="1" applyBorder="1" applyAlignment="1">
      <alignment horizontal="left" vertical="center" indent="1"/>
    </xf>
    <xf numFmtId="165" fontId="47" fillId="0" borderId="67" xfId="0" applyNumberFormat="1" applyFont="1" applyBorder="1" applyAlignment="1">
      <alignment horizontal="left" vertical="center" indent="1"/>
    </xf>
    <xf numFmtId="0" fontId="60" fillId="0" borderId="102" xfId="0" applyFont="1" applyBorder="1" applyAlignment="1">
      <alignment horizontal="center" vertical="center"/>
    </xf>
    <xf numFmtId="0" fontId="60" fillId="0" borderId="67" xfId="0" applyFont="1" applyBorder="1" applyAlignment="1">
      <alignment horizontal="center" vertical="center"/>
    </xf>
    <xf numFmtId="0" fontId="47" fillId="0" borderId="109" xfId="0" applyFont="1" applyBorder="1" applyAlignment="1">
      <alignment horizontal="center" vertical="center"/>
    </xf>
    <xf numFmtId="0" fontId="47" fillId="0" borderId="76" xfId="0" applyFont="1" applyBorder="1" applyAlignment="1">
      <alignment horizontal="center" vertical="center"/>
    </xf>
    <xf numFmtId="0" fontId="47" fillId="5" borderId="95" xfId="0" applyFont="1" applyFill="1" applyBorder="1" applyAlignment="1">
      <alignment horizontal="center" wrapText="1"/>
    </xf>
    <xf numFmtId="0" fontId="47" fillId="5" borderId="46" xfId="0" applyFont="1" applyFill="1" applyBorder="1" applyAlignment="1">
      <alignment horizontal="center" wrapText="1"/>
    </xf>
    <xf numFmtId="0" fontId="60" fillId="0" borderId="80" xfId="0" applyFont="1" applyBorder="1" applyAlignment="1">
      <alignment horizontal="left" vertical="center"/>
    </xf>
    <xf numFmtId="0" fontId="60" fillId="0" borderId="38" xfId="0" applyFont="1" applyBorder="1" applyAlignment="1">
      <alignment horizontal="left" vertical="center"/>
    </xf>
    <xf numFmtId="165" fontId="47" fillId="0" borderId="80" xfId="0" applyNumberFormat="1" applyFont="1" applyBorder="1" applyAlignment="1">
      <alignment horizontal="center" vertical="center" indent="1"/>
    </xf>
    <xf numFmtId="165" fontId="47" fillId="0" borderId="38" xfId="0" applyNumberFormat="1" applyFont="1" applyBorder="1" applyAlignment="1">
      <alignment horizontal="center" vertical="center" indent="1"/>
    </xf>
    <xf numFmtId="165" fontId="47" fillId="0" borderId="46" xfId="0" applyNumberFormat="1" applyFont="1" applyBorder="1" applyAlignment="1">
      <alignment horizontal="center" vertical="center" indent="1"/>
    </xf>
    <xf numFmtId="14" fontId="47" fillId="0" borderId="37" xfId="0" applyNumberFormat="1" applyFont="1" applyBorder="1" applyAlignment="1">
      <alignment horizontal="center" vertical="center" wrapText="1"/>
    </xf>
    <xf numFmtId="14" fontId="47" fillId="0" borderId="38" xfId="0" applyNumberFormat="1" applyFont="1" applyBorder="1" applyAlignment="1">
      <alignment horizontal="center" vertical="center" wrapText="1"/>
    </xf>
    <xf numFmtId="14" fontId="47" fillId="0" borderId="46" xfId="0" applyNumberFormat="1" applyFont="1" applyBorder="1" applyAlignment="1">
      <alignment horizontal="center" vertical="center" wrapText="1"/>
    </xf>
    <xf numFmtId="0" fontId="47" fillId="5" borderId="42" xfId="0" applyFont="1" applyFill="1" applyBorder="1" applyAlignment="1">
      <alignment horizontal="center" vertical="center" wrapText="1"/>
    </xf>
    <xf numFmtId="0" fontId="47" fillId="5" borderId="44" xfId="0" applyFont="1" applyFill="1" applyBorder="1" applyAlignment="1">
      <alignment horizontal="center" vertical="center" wrapText="1"/>
    </xf>
    <xf numFmtId="0" fontId="47" fillId="5" borderId="70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 wrapText="1"/>
    </xf>
    <xf numFmtId="0" fontId="47" fillId="5" borderId="104" xfId="0" applyFont="1" applyFill="1" applyBorder="1" applyAlignment="1">
      <alignment horizontal="center" vertical="top" wrapText="1"/>
    </xf>
    <xf numFmtId="0" fontId="47" fillId="5" borderId="0" xfId="0" applyFont="1" applyFill="1" applyAlignment="1">
      <alignment horizontal="center" vertical="top" wrapText="1"/>
    </xf>
    <xf numFmtId="0" fontId="47" fillId="5" borderId="121" xfId="0" applyFont="1" applyFill="1" applyBorder="1" applyAlignment="1">
      <alignment horizontal="center" vertical="top" wrapText="1"/>
    </xf>
    <xf numFmtId="166" fontId="47" fillId="5" borderId="1" xfId="0" applyNumberFormat="1" applyFont="1" applyFill="1" applyBorder="1" applyAlignment="1">
      <alignment horizontal="right" vertical="center"/>
    </xf>
    <xf numFmtId="0" fontId="47" fillId="5" borderId="2" xfId="0" applyFont="1" applyFill="1" applyBorder="1" applyAlignment="1">
      <alignment horizontal="right" vertical="center"/>
    </xf>
    <xf numFmtId="3" fontId="48" fillId="0" borderId="81" xfId="0" applyNumberFormat="1" applyFont="1" applyBorder="1" applyAlignment="1">
      <alignment horizontal="center" vertical="center" wrapText="1"/>
    </xf>
    <xf numFmtId="3" fontId="48" fillId="0" borderId="2" xfId="0" applyNumberFormat="1" applyFont="1" applyBorder="1" applyAlignment="1">
      <alignment horizontal="center" vertical="center"/>
    </xf>
    <xf numFmtId="3" fontId="48" fillId="0" borderId="88" xfId="0" applyNumberFormat="1" applyFont="1" applyBorder="1" applyAlignment="1">
      <alignment horizontal="center" vertical="center"/>
    </xf>
    <xf numFmtId="17" fontId="45" fillId="2" borderId="37" xfId="0" applyNumberFormat="1" applyFont="1" applyFill="1" applyBorder="1" applyAlignment="1">
      <alignment horizontal="center" vertical="center"/>
    </xf>
    <xf numFmtId="14" fontId="47" fillId="0" borderId="1" xfId="0" applyNumberFormat="1" applyFont="1" applyBorder="1" applyAlignment="1">
      <alignment horizontal="center" vertical="center" wrapText="1"/>
    </xf>
    <xf numFmtId="3" fontId="48" fillId="0" borderId="80" xfId="0" applyNumberFormat="1" applyFont="1" applyBorder="1" applyAlignment="1">
      <alignment horizontal="center" vertical="center" wrapText="1"/>
    </xf>
    <xf numFmtId="3" fontId="48" fillId="0" borderId="38" xfId="0" applyNumberFormat="1" applyFont="1" applyBorder="1" applyAlignment="1">
      <alignment horizontal="center" vertical="center" wrapText="1"/>
    </xf>
    <xf numFmtId="3" fontId="48" fillId="0" borderId="87" xfId="0" applyNumberFormat="1" applyFont="1" applyBorder="1" applyAlignment="1">
      <alignment horizontal="center" vertical="center" wrapText="1"/>
    </xf>
    <xf numFmtId="3" fontId="48" fillId="0" borderId="80" xfId="0" applyNumberFormat="1" applyFont="1" applyBorder="1" applyAlignment="1">
      <alignment horizontal="center" vertical="center"/>
    </xf>
    <xf numFmtId="3" fontId="48" fillId="0" borderId="38" xfId="0" applyNumberFormat="1" applyFont="1" applyBorder="1" applyAlignment="1">
      <alignment horizontal="center" vertical="center"/>
    </xf>
    <xf numFmtId="165" fontId="48" fillId="5" borderId="81" xfId="1" applyNumberFormat="1" applyFont="1" applyFill="1" applyBorder="1" applyAlignment="1">
      <alignment horizontal="center" vertical="center" wrapText="1"/>
    </xf>
    <xf numFmtId="0" fontId="52" fillId="5" borderId="2" xfId="1" applyFont="1" applyFill="1" applyBorder="1" applyAlignment="1">
      <alignment horizontal="center" vertical="center"/>
    </xf>
    <xf numFmtId="0" fontId="52" fillId="5" borderId="37" xfId="1" applyFont="1" applyFill="1" applyBorder="1" applyAlignment="1">
      <alignment horizontal="center" vertical="center"/>
    </xf>
    <xf numFmtId="0" fontId="48" fillId="5" borderId="94" xfId="0" applyFont="1" applyFill="1" applyBorder="1" applyAlignment="1">
      <alignment horizontal="center" vertical="center" wrapText="1"/>
    </xf>
    <xf numFmtId="0" fontId="48" fillId="5" borderId="69" xfId="0" applyFont="1" applyFill="1" applyBorder="1" applyAlignment="1">
      <alignment horizontal="center" vertical="center" wrapText="1"/>
    </xf>
    <xf numFmtId="0" fontId="47" fillId="5" borderId="111" xfId="0" applyFont="1" applyFill="1" applyBorder="1" applyAlignment="1">
      <alignment horizontal="center" vertical="center"/>
    </xf>
    <xf numFmtId="0" fontId="47" fillId="5" borderId="112" xfId="0" applyFont="1" applyFill="1" applyBorder="1" applyAlignment="1">
      <alignment horizontal="center" vertical="center"/>
    </xf>
    <xf numFmtId="0" fontId="48" fillId="5" borderId="104" xfId="0" applyFont="1" applyFill="1" applyBorder="1" applyAlignment="1">
      <alignment horizontal="center" vertical="center" wrapText="1"/>
    </xf>
    <xf numFmtId="0" fontId="48" fillId="5" borderId="44" xfId="0" applyFont="1" applyFill="1" applyBorder="1" applyAlignment="1">
      <alignment horizontal="center" vertical="center" wrapText="1"/>
    </xf>
    <xf numFmtId="0" fontId="49" fillId="0" borderId="102" xfId="0" applyFont="1" applyBorder="1" applyAlignment="1">
      <alignment horizontal="left" vertical="center" wrapText="1"/>
    </xf>
    <xf numFmtId="0" fontId="49" fillId="0" borderId="67" xfId="0" applyFont="1" applyBorder="1" applyAlignment="1">
      <alignment horizontal="left" vertical="center" wrapText="1"/>
    </xf>
    <xf numFmtId="0" fontId="49" fillId="0" borderId="80" xfId="0" applyFont="1" applyBorder="1" applyAlignment="1">
      <alignment horizontal="left" vertical="center"/>
    </xf>
    <xf numFmtId="0" fontId="49" fillId="0" borderId="38" xfId="0" applyFont="1" applyBorder="1" applyAlignment="1">
      <alignment horizontal="left" vertical="center"/>
    </xf>
    <xf numFmtId="0" fontId="60" fillId="0" borderId="80" xfId="0" applyFont="1" applyBorder="1" applyAlignment="1">
      <alignment horizontal="left" vertical="center" wrapText="1"/>
    </xf>
    <xf numFmtId="0" fontId="60" fillId="0" borderId="38" xfId="0" applyFont="1" applyBorder="1" applyAlignment="1">
      <alignment horizontal="left" vertical="center" wrapText="1"/>
    </xf>
    <xf numFmtId="0" fontId="47" fillId="5" borderId="92" xfId="0" applyFont="1" applyFill="1" applyBorder="1" applyAlignment="1">
      <alignment horizontal="center" vertical="center"/>
    </xf>
    <xf numFmtId="0" fontId="47" fillId="5" borderId="96" xfId="0" applyFont="1" applyFill="1" applyBorder="1" applyAlignment="1">
      <alignment horizontal="center" vertical="center"/>
    </xf>
    <xf numFmtId="0" fontId="47" fillId="5" borderId="97" xfId="0" applyFont="1" applyFill="1" applyBorder="1" applyAlignment="1">
      <alignment horizontal="center" vertical="center"/>
    </xf>
    <xf numFmtId="0" fontId="48" fillId="0" borderId="108" xfId="0" applyFont="1" applyBorder="1" applyAlignment="1">
      <alignment horizontal="center" vertical="center"/>
    </xf>
    <xf numFmtId="0" fontId="48" fillId="0" borderId="16" xfId="0" applyFont="1" applyBorder="1" applyAlignment="1">
      <alignment horizontal="center" vertical="center"/>
    </xf>
    <xf numFmtId="0" fontId="48" fillId="0" borderId="20" xfId="0" applyFont="1" applyBorder="1" applyAlignment="1">
      <alignment horizontal="center" vertical="center"/>
    </xf>
    <xf numFmtId="0" fontId="49" fillId="0" borderId="80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49" fillId="0" borderId="87" xfId="0" applyFont="1" applyBorder="1" applyAlignment="1">
      <alignment horizontal="left" vertical="center" wrapText="1"/>
    </xf>
    <xf numFmtId="0" fontId="49" fillId="0" borderId="46" xfId="0" applyFont="1" applyBorder="1" applyAlignment="1">
      <alignment horizontal="left" vertical="center" wrapText="1"/>
    </xf>
    <xf numFmtId="0" fontId="60" fillId="0" borderId="48" xfId="0" applyFont="1" applyBorder="1" applyAlignment="1">
      <alignment horizontal="left" vertical="center" wrapText="1"/>
    </xf>
    <xf numFmtId="0" fontId="60" fillId="0" borderId="46" xfId="0" applyFont="1" applyBorder="1" applyAlignment="1">
      <alignment horizontal="left" vertical="center" wrapText="1"/>
    </xf>
    <xf numFmtId="0" fontId="60" fillId="0" borderId="80" xfId="0" applyFont="1" applyBorder="1" applyAlignment="1">
      <alignment horizontal="center" vertical="center"/>
    </xf>
    <xf numFmtId="0" fontId="60" fillId="0" borderId="38" xfId="0" applyFont="1" applyBorder="1" applyAlignment="1">
      <alignment horizontal="center" vertical="center"/>
    </xf>
    <xf numFmtId="0" fontId="60" fillId="0" borderId="109" xfId="0" applyFont="1" applyBorder="1" applyAlignment="1">
      <alignment horizontal="center" vertical="center" wrapText="1"/>
    </xf>
    <xf numFmtId="0" fontId="60" fillId="0" borderId="76" xfId="0" applyFont="1" applyBorder="1" applyAlignment="1">
      <alignment horizontal="center" vertical="center" wrapText="1"/>
    </xf>
    <xf numFmtId="0" fontId="60" fillId="0" borderId="119" xfId="0" applyFont="1" applyBorder="1" applyAlignment="1">
      <alignment horizontal="center" vertical="center" wrapText="1"/>
    </xf>
    <xf numFmtId="0" fontId="47" fillId="5" borderId="1" xfId="0" applyFont="1" applyFill="1" applyBorder="1" applyAlignment="1">
      <alignment horizontal="center" vertical="center"/>
    </xf>
    <xf numFmtId="0" fontId="47" fillId="5" borderId="37" xfId="0" applyFont="1" applyFill="1" applyBorder="1" applyAlignment="1">
      <alignment horizontal="center" vertical="center"/>
    </xf>
    <xf numFmtId="0" fontId="48" fillId="0" borderId="96" xfId="0" applyFont="1" applyBorder="1" applyAlignment="1">
      <alignment horizontal="center" vertical="center"/>
    </xf>
    <xf numFmtId="0" fontId="60" fillId="5" borderId="48" xfId="0" applyFont="1" applyFill="1" applyBorder="1" applyAlignment="1">
      <alignment horizontal="left" vertical="center" wrapText="1"/>
    </xf>
    <xf numFmtId="0" fontId="60" fillId="5" borderId="38" xfId="0" applyFont="1" applyFill="1" applyBorder="1" applyAlignment="1">
      <alignment horizontal="left" vertical="center" wrapText="1"/>
    </xf>
    <xf numFmtId="0" fontId="60" fillId="5" borderId="48" xfId="0" applyFont="1" applyFill="1" applyBorder="1" applyAlignment="1">
      <alignment horizontal="center" vertical="center" wrapText="1"/>
    </xf>
    <xf numFmtId="0" fontId="60" fillId="5" borderId="38" xfId="0" applyFont="1" applyFill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48" fillId="5" borderId="1" xfId="1" applyFont="1" applyFill="1" applyBorder="1" applyAlignment="1">
      <alignment horizontal="center" vertical="center" wrapText="1"/>
    </xf>
    <xf numFmtId="165" fontId="48" fillId="0" borderId="1" xfId="0" applyNumberFormat="1" applyFont="1" applyBorder="1" applyAlignment="1">
      <alignment horizontal="left" vertical="center" indent="1"/>
    </xf>
    <xf numFmtId="165" fontId="48" fillId="0" borderId="2" xfId="0" applyNumberFormat="1" applyFont="1" applyBorder="1" applyAlignment="1">
      <alignment horizontal="left" vertical="center" indent="1"/>
    </xf>
    <xf numFmtId="165" fontId="48" fillId="0" borderId="37" xfId="0" applyNumberFormat="1" applyFont="1" applyBorder="1" applyAlignment="1">
      <alignment horizontal="left" vertical="center" indent="1"/>
    </xf>
    <xf numFmtId="0" fontId="48" fillId="5" borderId="81" xfId="0" applyFont="1" applyFill="1" applyBorder="1" applyAlignment="1">
      <alignment horizontal="center" vertical="center"/>
    </xf>
    <xf numFmtId="0" fontId="48" fillId="5" borderId="2" xfId="0" applyFont="1" applyFill="1" applyBorder="1" applyAlignment="1">
      <alignment horizontal="center" vertical="center"/>
    </xf>
    <xf numFmtId="0" fontId="48" fillId="5" borderId="37" xfId="0" applyFont="1" applyFill="1" applyBorder="1" applyAlignment="1">
      <alignment horizontal="center" vertical="center"/>
    </xf>
    <xf numFmtId="0" fontId="47" fillId="5" borderId="104" xfId="0" applyFont="1" applyFill="1" applyBorder="1" applyAlignment="1">
      <alignment horizontal="center" vertical="center" wrapText="1"/>
    </xf>
    <xf numFmtId="0" fontId="47" fillId="5" borderId="81" xfId="0" applyFont="1" applyFill="1" applyBorder="1" applyAlignment="1">
      <alignment horizontal="center" vertical="center" wrapText="1"/>
    </xf>
    <xf numFmtId="0" fontId="47" fillId="5" borderId="2" xfId="0" applyFont="1" applyFill="1" applyBorder="1" applyAlignment="1">
      <alignment horizontal="center" vertical="center" wrapText="1"/>
    </xf>
    <xf numFmtId="0" fontId="47" fillId="5" borderId="88" xfId="0" applyFont="1" applyFill="1" applyBorder="1" applyAlignment="1">
      <alignment horizontal="center" vertical="center" wrapText="1"/>
    </xf>
    <xf numFmtId="165" fontId="47" fillId="0" borderId="88" xfId="0" applyNumberFormat="1" applyFont="1" applyBorder="1" applyAlignment="1">
      <alignment horizontal="left" vertical="center" indent="1"/>
    </xf>
    <xf numFmtId="0" fontId="48" fillId="0" borderId="79" xfId="0" applyFont="1" applyBorder="1" applyAlignment="1">
      <alignment horizontal="center" vertical="center"/>
    </xf>
    <xf numFmtId="0" fontId="48" fillId="0" borderId="84" xfId="0" applyFont="1" applyBorder="1" applyAlignment="1">
      <alignment horizontal="center" vertical="center"/>
    </xf>
    <xf numFmtId="0" fontId="48" fillId="0" borderId="98" xfId="0" applyFont="1" applyBorder="1" applyAlignment="1">
      <alignment horizontal="center" vertical="center"/>
    </xf>
    <xf numFmtId="0" fontId="48" fillId="0" borderId="92" xfId="0" applyFont="1" applyBorder="1" applyAlignment="1">
      <alignment horizontal="center" vertical="center"/>
    </xf>
    <xf numFmtId="0" fontId="60" fillId="0" borderId="107" xfId="0" applyFont="1" applyBorder="1" applyAlignment="1">
      <alignment horizontal="left" vertical="center" wrapText="1"/>
    </xf>
    <xf numFmtId="165" fontId="48" fillId="0" borderId="80" xfId="0" applyNumberFormat="1" applyFont="1" applyBorder="1" applyAlignment="1">
      <alignment horizontal="left" vertical="center" indent="1"/>
    </xf>
    <xf numFmtId="165" fontId="48" fillId="0" borderId="38" xfId="0" applyNumberFormat="1" applyFont="1" applyBorder="1" applyAlignment="1">
      <alignment horizontal="left" vertical="center" indent="1"/>
    </xf>
    <xf numFmtId="3" fontId="48" fillId="0" borderId="80" xfId="0" quotePrefix="1" applyNumberFormat="1" applyFont="1" applyBorder="1" applyAlignment="1">
      <alignment horizontal="center" vertical="center" wrapText="1"/>
    </xf>
    <xf numFmtId="3" fontId="48" fillId="0" borderId="37" xfId="0" applyNumberFormat="1" applyFont="1" applyBorder="1" applyAlignment="1">
      <alignment horizontal="center" vertical="center"/>
    </xf>
    <xf numFmtId="165" fontId="48" fillId="0" borderId="81" xfId="0" applyNumberFormat="1" applyFont="1" applyBorder="1" applyAlignment="1">
      <alignment horizontal="left" vertical="center" indent="1"/>
    </xf>
    <xf numFmtId="0" fontId="60" fillId="0" borderId="102" xfId="0" applyFont="1" applyBorder="1" applyAlignment="1">
      <alignment horizontal="center" vertical="center" wrapText="1"/>
    </xf>
    <xf numFmtId="0" fontId="60" fillId="0" borderId="67" xfId="0" applyFont="1" applyBorder="1" applyAlignment="1">
      <alignment horizontal="center" vertical="center" wrapText="1"/>
    </xf>
    <xf numFmtId="0" fontId="47" fillId="0" borderId="102" xfId="0" applyFont="1" applyBorder="1" applyAlignment="1">
      <alignment horizontal="center" vertical="center"/>
    </xf>
    <xf numFmtId="0" fontId="47" fillId="0" borderId="67" xfId="0" applyFont="1" applyBorder="1" applyAlignment="1">
      <alignment horizontal="center" vertical="center"/>
    </xf>
    <xf numFmtId="0" fontId="60" fillId="0" borderId="48" xfId="0" applyFont="1" applyBorder="1" applyAlignment="1">
      <alignment horizontal="center" vertical="center" wrapText="1"/>
    </xf>
    <xf numFmtId="0" fontId="60" fillId="0" borderId="38" xfId="0" applyFont="1" applyBorder="1" applyAlignment="1">
      <alignment horizontal="center" vertical="center" wrapText="1"/>
    </xf>
    <xf numFmtId="0" fontId="60" fillId="0" borderId="46" xfId="0" applyFont="1" applyBorder="1" applyAlignment="1">
      <alignment horizontal="center" vertical="center" wrapText="1"/>
    </xf>
    <xf numFmtId="165" fontId="47" fillId="0" borderId="48" xfId="0" applyNumberFormat="1" applyFont="1" applyBorder="1" applyAlignment="1">
      <alignment horizontal="left" vertical="center" indent="1"/>
    </xf>
    <xf numFmtId="165" fontId="47" fillId="0" borderId="46" xfId="0" applyNumberFormat="1" applyFont="1" applyBorder="1" applyAlignment="1">
      <alignment horizontal="left" vertical="center" indent="1"/>
    </xf>
    <xf numFmtId="0" fontId="47" fillId="0" borderId="37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47" fillId="0" borderId="87" xfId="0" applyFont="1" applyBorder="1" applyAlignment="1">
      <alignment horizontal="center" vertical="center" wrapText="1"/>
    </xf>
    <xf numFmtId="3" fontId="48" fillId="5" borderId="37" xfId="0" applyNumberFormat="1" applyFont="1" applyFill="1" applyBorder="1" applyAlignment="1">
      <alignment horizontal="center" vertical="center" wrapText="1"/>
    </xf>
    <xf numFmtId="3" fontId="48" fillId="5" borderId="38" xfId="0" applyNumberFormat="1" applyFont="1" applyFill="1" applyBorder="1" applyAlignment="1">
      <alignment horizontal="center" vertical="center" wrapText="1"/>
    </xf>
    <xf numFmtId="0" fontId="60" fillId="0" borderId="80" xfId="0" applyFont="1" applyBorder="1" applyAlignment="1">
      <alignment horizontal="center" vertical="center" wrapText="1"/>
    </xf>
    <xf numFmtId="0" fontId="60" fillId="0" borderId="87" xfId="0" applyFont="1" applyBorder="1" applyAlignment="1">
      <alignment horizontal="center" vertical="center" wrapText="1"/>
    </xf>
    <xf numFmtId="0" fontId="47" fillId="5" borderId="47" xfId="0" applyFont="1" applyFill="1" applyBorder="1" applyAlignment="1">
      <alignment horizontal="center" vertical="center"/>
    </xf>
    <xf numFmtId="0" fontId="47" fillId="5" borderId="49" xfId="0" applyFont="1" applyFill="1" applyBorder="1" applyAlignment="1">
      <alignment horizontal="center" vertical="center"/>
    </xf>
    <xf numFmtId="0" fontId="49" fillId="0" borderId="83" xfId="0" applyFont="1" applyBorder="1" applyAlignment="1">
      <alignment horizontal="left" vertical="center"/>
    </xf>
    <xf numFmtId="0" fontId="49" fillId="0" borderId="43" xfId="0" applyFont="1" applyBorder="1" applyAlignment="1">
      <alignment horizontal="left" vertical="center"/>
    </xf>
    <xf numFmtId="0" fontId="49" fillId="0" borderId="66" xfId="0" applyFont="1" applyBorder="1" applyAlignment="1">
      <alignment horizontal="left" vertical="center"/>
    </xf>
    <xf numFmtId="0" fontId="49" fillId="0" borderId="102" xfId="0" applyFont="1" applyBorder="1" applyAlignment="1">
      <alignment horizontal="center" vertical="center" wrapText="1"/>
    </xf>
    <xf numFmtId="0" fontId="49" fillId="0" borderId="67" xfId="0" applyFont="1" applyBorder="1" applyAlignment="1">
      <alignment horizontal="center" vertical="center" wrapText="1"/>
    </xf>
    <xf numFmtId="0" fontId="49" fillId="0" borderId="102" xfId="0" applyFont="1" applyBorder="1" applyAlignment="1">
      <alignment horizontal="center" vertical="center"/>
    </xf>
    <xf numFmtId="0" fontId="49" fillId="0" borderId="67" xfId="0" applyFont="1" applyBorder="1" applyAlignment="1">
      <alignment horizontal="center" vertical="center"/>
    </xf>
    <xf numFmtId="0" fontId="60" fillId="0" borderId="87" xfId="0" applyFont="1" applyBorder="1" applyAlignment="1">
      <alignment horizontal="left" vertical="center" wrapText="1"/>
    </xf>
    <xf numFmtId="165" fontId="47" fillId="5" borderId="28" xfId="0" applyNumberFormat="1" applyFont="1" applyFill="1" applyBorder="1" applyAlignment="1">
      <alignment horizontal="left" vertical="center" indent="1"/>
    </xf>
    <xf numFmtId="165" fontId="47" fillId="5" borderId="2" xfId="0" applyNumberFormat="1" applyFont="1" applyFill="1" applyBorder="1" applyAlignment="1">
      <alignment horizontal="left" vertical="center" indent="1"/>
    </xf>
    <xf numFmtId="165" fontId="47" fillId="5" borderId="37" xfId="0" applyNumberFormat="1" applyFont="1" applyFill="1" applyBorder="1" applyAlignment="1">
      <alignment horizontal="left" vertical="center" indent="1"/>
    </xf>
    <xf numFmtId="0" fontId="47" fillId="0" borderId="102" xfId="0" quotePrefix="1" applyFont="1" applyBorder="1" applyAlignment="1">
      <alignment horizontal="center" vertical="center" wrapText="1"/>
    </xf>
    <xf numFmtId="0" fontId="47" fillId="0" borderId="67" xfId="0" applyFont="1" applyBorder="1" applyAlignment="1">
      <alignment horizontal="center" vertical="center" wrapText="1"/>
    </xf>
    <xf numFmtId="0" fontId="49" fillId="5" borderId="80" xfId="0" applyFont="1" applyFill="1" applyBorder="1" applyAlignment="1">
      <alignment horizontal="center" vertical="center" wrapText="1"/>
    </xf>
    <xf numFmtId="0" fontId="49" fillId="5" borderId="38" xfId="0" applyFont="1" applyFill="1" applyBorder="1" applyAlignment="1">
      <alignment horizontal="center" vertical="center" wrapText="1"/>
    </xf>
    <xf numFmtId="0" fontId="47" fillId="0" borderId="102" xfId="0" applyFont="1" applyBorder="1" applyAlignment="1">
      <alignment horizontal="center" vertical="center" wrapText="1"/>
    </xf>
    <xf numFmtId="0" fontId="47" fillId="0" borderId="81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/>
    </xf>
    <xf numFmtId="0" fontId="47" fillId="0" borderId="37" xfId="0" applyFont="1" applyBorder="1" applyAlignment="1">
      <alignment horizontal="center" vertical="center"/>
    </xf>
    <xf numFmtId="0" fontId="47" fillId="0" borderId="83" xfId="0" quotePrefix="1" applyFont="1" applyBorder="1" applyAlignment="1">
      <alignment horizontal="center" vertical="center" wrapText="1"/>
    </xf>
    <xf numFmtId="0" fontId="47" fillId="0" borderId="43" xfId="0" applyFont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48" fillId="5" borderId="95" xfId="0" applyFont="1" applyFill="1" applyBorder="1" applyAlignment="1">
      <alignment horizontal="center" vertical="center" wrapText="1"/>
    </xf>
    <xf numFmtId="0" fontId="48" fillId="5" borderId="80" xfId="1" applyFont="1" applyFill="1" applyBorder="1" applyAlignment="1">
      <alignment horizontal="center" vertical="center" wrapText="1"/>
    </xf>
    <xf numFmtId="0" fontId="48" fillId="5" borderId="38" xfId="1" applyFont="1" applyFill="1" applyBorder="1" applyAlignment="1">
      <alignment horizontal="center" vertical="center" wrapText="1"/>
    </xf>
    <xf numFmtId="0" fontId="48" fillId="5" borderId="87" xfId="1" applyFont="1" applyFill="1" applyBorder="1" applyAlignment="1">
      <alignment horizontal="center" vertical="center" wrapText="1"/>
    </xf>
    <xf numFmtId="0" fontId="48" fillId="5" borderId="88" xfId="0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/>
    </xf>
    <xf numFmtId="0" fontId="47" fillId="5" borderId="2" xfId="0" applyFont="1" applyFill="1" applyBorder="1" applyAlignment="1">
      <alignment horizontal="center"/>
    </xf>
    <xf numFmtId="0" fontId="47" fillId="5" borderId="87" xfId="0" applyFont="1" applyFill="1" applyBorder="1" applyAlignment="1">
      <alignment horizontal="center" vertical="center"/>
    </xf>
    <xf numFmtId="0" fontId="49" fillId="0" borderId="87" xfId="0" applyFont="1" applyBorder="1" applyAlignment="1">
      <alignment horizontal="center" vertical="center" wrapText="1"/>
    </xf>
    <xf numFmtId="43" fontId="47" fillId="0" borderId="81" xfId="3" applyFont="1" applyBorder="1" applyAlignment="1">
      <alignment horizontal="left" vertical="center" indent="1"/>
    </xf>
    <xf numFmtId="43" fontId="47" fillId="0" borderId="2" xfId="3" applyFont="1" applyBorder="1" applyAlignment="1">
      <alignment horizontal="left" vertical="center" indent="1"/>
    </xf>
    <xf numFmtId="43" fontId="47" fillId="0" borderId="88" xfId="3" applyFont="1" applyBorder="1" applyAlignment="1">
      <alignment horizontal="left" vertical="center" indent="1"/>
    </xf>
    <xf numFmtId="0" fontId="48" fillId="5" borderId="81" xfId="0" applyFont="1" applyFill="1" applyBorder="1" applyAlignment="1">
      <alignment horizontal="center" vertical="center" wrapText="1"/>
    </xf>
    <xf numFmtId="0" fontId="48" fillId="5" borderId="2" xfId="0" applyFont="1" applyFill="1" applyBorder="1" applyAlignment="1">
      <alignment horizontal="center" vertical="center" wrapText="1"/>
    </xf>
    <xf numFmtId="0" fontId="48" fillId="5" borderId="88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/>
    </xf>
    <xf numFmtId="43" fontId="48" fillId="5" borderId="81" xfId="0" applyNumberFormat="1" applyFont="1" applyFill="1" applyBorder="1" applyAlignment="1">
      <alignment horizontal="center" vertical="center"/>
    </xf>
    <xf numFmtId="0" fontId="48" fillId="5" borderId="4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9" fillId="0" borderId="68" xfId="0" applyFont="1" applyBorder="1" applyAlignment="1">
      <alignment horizontal="center" vertical="center"/>
    </xf>
    <xf numFmtId="0" fontId="49" fillId="0" borderId="43" xfId="0" applyFont="1" applyBorder="1" applyAlignment="1">
      <alignment horizontal="center" vertical="center"/>
    </xf>
    <xf numFmtId="0" fontId="49" fillId="0" borderId="90" xfId="0" applyFont="1" applyBorder="1" applyAlignment="1">
      <alignment horizontal="center" vertical="center"/>
    </xf>
    <xf numFmtId="0" fontId="49" fillId="0" borderId="107" xfId="0" applyFont="1" applyBorder="1" applyAlignment="1">
      <alignment horizontal="center" vertical="center"/>
    </xf>
    <xf numFmtId="165" fontId="47" fillId="0" borderId="68" xfId="0" applyNumberFormat="1" applyFont="1" applyBorder="1" applyAlignment="1">
      <alignment horizontal="left" vertical="center" indent="1"/>
    </xf>
    <xf numFmtId="165" fontId="47" fillId="0" borderId="90" xfId="0" applyNumberFormat="1" applyFont="1" applyBorder="1" applyAlignment="1">
      <alignment horizontal="left" vertical="center" indent="1"/>
    </xf>
    <xf numFmtId="165" fontId="47" fillId="0" borderId="68" xfId="0" applyNumberFormat="1" applyFont="1" applyBorder="1" applyAlignment="1">
      <alignment horizontal="center" vertical="center" wrapText="1"/>
    </xf>
    <xf numFmtId="165" fontId="47" fillId="0" borderId="90" xfId="0" applyNumberFormat="1" applyFont="1" applyBorder="1" applyAlignment="1">
      <alignment horizontal="center" vertical="center" wrapText="1"/>
    </xf>
    <xf numFmtId="0" fontId="49" fillId="0" borderId="81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37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 wrapText="1"/>
    </xf>
    <xf numFmtId="0" fontId="47" fillId="5" borderId="132" xfId="0" applyFont="1" applyFill="1" applyBorder="1" applyAlignment="1">
      <alignment horizontal="center" vertical="center" wrapText="1"/>
    </xf>
    <xf numFmtId="0" fontId="47" fillId="0" borderId="81" xfId="0" applyFont="1" applyBorder="1" applyAlignment="1">
      <alignment horizontal="center" vertical="center"/>
    </xf>
    <xf numFmtId="0" fontId="47" fillId="0" borderId="88" xfId="0" applyFont="1" applyBorder="1" applyAlignment="1">
      <alignment horizontal="center" vertical="center"/>
    </xf>
    <xf numFmtId="0" fontId="47" fillId="0" borderId="68" xfId="0" applyFont="1" applyBorder="1" applyAlignment="1">
      <alignment horizontal="center" vertical="center"/>
    </xf>
    <xf numFmtId="0" fontId="47" fillId="0" borderId="90" xfId="0" applyFont="1" applyBorder="1" applyAlignment="1">
      <alignment horizontal="center" vertical="center"/>
    </xf>
    <xf numFmtId="0" fontId="47" fillId="0" borderId="68" xfId="0" applyFont="1" applyBorder="1" applyAlignment="1">
      <alignment horizontal="center" vertical="center" wrapText="1"/>
    </xf>
    <xf numFmtId="0" fontId="47" fillId="0" borderId="90" xfId="0" applyFont="1" applyBorder="1" applyAlignment="1">
      <alignment horizontal="center" vertical="center" wrapText="1"/>
    </xf>
    <xf numFmtId="165" fontId="47" fillId="5" borderId="66" xfId="0" applyNumberFormat="1" applyFont="1" applyFill="1" applyBorder="1" applyAlignment="1">
      <alignment horizontal="right" vertical="center" indent="1"/>
    </xf>
    <xf numFmtId="165" fontId="47" fillId="5" borderId="102" xfId="0" applyNumberFormat="1" applyFont="1" applyFill="1" applyBorder="1" applyAlignment="1">
      <alignment horizontal="right" vertical="center" indent="1"/>
    </xf>
    <xf numFmtId="165" fontId="47" fillId="5" borderId="67" xfId="0" applyNumberFormat="1" applyFont="1" applyFill="1" applyBorder="1" applyAlignment="1">
      <alignment horizontal="right" vertical="center" indent="1"/>
    </xf>
    <xf numFmtId="165" fontId="47" fillId="5" borderId="68" xfId="0" applyNumberFormat="1" applyFont="1" applyFill="1" applyBorder="1" applyAlignment="1">
      <alignment horizontal="right" vertical="center" indent="1"/>
    </xf>
    <xf numFmtId="0" fontId="47" fillId="5" borderId="82" xfId="0" applyFont="1" applyFill="1" applyBorder="1" applyAlignment="1">
      <alignment horizontal="center" vertical="center" wrapText="1"/>
    </xf>
    <xf numFmtId="0" fontId="47" fillId="0" borderId="80" xfId="0" applyFont="1" applyBorder="1" applyAlignment="1">
      <alignment horizontal="center" vertical="center" wrapText="1"/>
    </xf>
    <xf numFmtId="0" fontId="47" fillId="0" borderId="83" xfId="0" applyFont="1" applyBorder="1" applyAlignment="1">
      <alignment horizontal="center" vertical="center" wrapText="1"/>
    </xf>
    <xf numFmtId="0" fontId="47" fillId="5" borderId="95" xfId="0" applyFont="1" applyFill="1" applyBorder="1" applyAlignment="1">
      <alignment horizontal="center" vertical="center" wrapText="1"/>
    </xf>
    <xf numFmtId="0" fontId="47" fillId="5" borderId="83" xfId="0" applyFont="1" applyFill="1" applyBorder="1" applyAlignment="1">
      <alignment horizontal="center" vertical="center" wrapText="1"/>
    </xf>
    <xf numFmtId="0" fontId="47" fillId="5" borderId="43" xfId="0" applyFont="1" applyFill="1" applyBorder="1" applyAlignment="1">
      <alignment horizontal="center" vertical="center" wrapText="1"/>
    </xf>
    <xf numFmtId="0" fontId="47" fillId="5" borderId="66" xfId="0" applyFont="1" applyFill="1" applyBorder="1" applyAlignment="1">
      <alignment horizontal="center" vertical="center" wrapText="1"/>
    </xf>
    <xf numFmtId="0" fontId="47" fillId="5" borderId="37" xfId="0" applyFont="1" applyFill="1" applyBorder="1" applyAlignment="1">
      <alignment horizontal="center" vertical="center" wrapText="1"/>
    </xf>
    <xf numFmtId="0" fontId="47" fillId="5" borderId="81" xfId="0" applyFont="1" applyFill="1" applyBorder="1" applyAlignment="1">
      <alignment horizontal="left" vertical="center" wrapText="1" indent="1"/>
    </xf>
    <xf numFmtId="0" fontId="47" fillId="5" borderId="2" xfId="0" applyFont="1" applyFill="1" applyBorder="1" applyAlignment="1">
      <alignment horizontal="left" vertical="center" wrapText="1" indent="1"/>
    </xf>
    <xf numFmtId="0" fontId="47" fillId="5" borderId="37" xfId="0" applyFont="1" applyFill="1" applyBorder="1" applyAlignment="1">
      <alignment horizontal="left" vertical="center" wrapText="1" indent="1"/>
    </xf>
    <xf numFmtId="14" fontId="47" fillId="5" borderId="37" xfId="0" applyNumberFormat="1" applyFont="1" applyFill="1" applyBorder="1" applyAlignment="1">
      <alignment horizontal="center" vertical="center" wrapText="1"/>
    </xf>
    <xf numFmtId="14" fontId="47" fillId="5" borderId="38" xfId="0" applyNumberFormat="1" applyFont="1" applyFill="1" applyBorder="1" applyAlignment="1">
      <alignment horizontal="center" vertical="center" wrapText="1"/>
    </xf>
    <xf numFmtId="0" fontId="47" fillId="5" borderId="122" xfId="0" applyFont="1" applyFill="1" applyBorder="1" applyAlignment="1">
      <alignment horizontal="center" vertical="center" wrapText="1"/>
    </xf>
    <xf numFmtId="0" fontId="47" fillId="5" borderId="123" xfId="0" applyFont="1" applyFill="1" applyBorder="1" applyAlignment="1">
      <alignment horizontal="center" vertical="center" wrapText="1"/>
    </xf>
    <xf numFmtId="0" fontId="47" fillId="5" borderId="124" xfId="0" applyFont="1" applyFill="1" applyBorder="1" applyAlignment="1">
      <alignment horizontal="center" vertical="center" wrapText="1"/>
    </xf>
    <xf numFmtId="0" fontId="49" fillId="5" borderId="52" xfId="0" applyFont="1" applyFill="1" applyBorder="1" applyAlignment="1">
      <alignment horizontal="center" vertical="center" wrapText="1"/>
    </xf>
    <xf numFmtId="0" fontId="49" fillId="5" borderId="71" xfId="0" applyFont="1" applyFill="1" applyBorder="1" applyAlignment="1">
      <alignment horizontal="center" vertical="center" wrapText="1"/>
    </xf>
    <xf numFmtId="0" fontId="47" fillId="5" borderId="1" xfId="0" applyFont="1" applyFill="1" applyBorder="1" applyAlignment="1">
      <alignment vertical="center" wrapText="1"/>
    </xf>
    <xf numFmtId="0" fontId="47" fillId="5" borderId="2" xfId="0" applyFont="1" applyFill="1" applyBorder="1" applyAlignment="1">
      <alignment vertical="center" wrapText="1"/>
    </xf>
    <xf numFmtId="0" fontId="47" fillId="5" borderId="48" xfId="0" applyFont="1" applyFill="1" applyBorder="1" applyAlignment="1">
      <alignment vertical="center" wrapText="1"/>
    </xf>
    <xf numFmtId="0" fontId="47" fillId="5" borderId="38" xfId="0" applyFont="1" applyFill="1" applyBorder="1" applyAlignment="1">
      <alignment vertical="center"/>
    </xf>
    <xf numFmtId="0" fontId="47" fillId="0" borderId="138" xfId="0" applyFont="1" applyBorder="1" applyAlignment="1">
      <alignment horizontal="center" vertical="center"/>
    </xf>
    <xf numFmtId="0" fontId="47" fillId="0" borderId="146" xfId="0" applyFont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38" xfId="0" applyFont="1" applyBorder="1" applyAlignment="1">
      <alignment horizontal="center" vertical="center"/>
    </xf>
    <xf numFmtId="165" fontId="47" fillId="5" borderId="109" xfId="0" applyNumberFormat="1" applyFont="1" applyFill="1" applyBorder="1" applyAlignment="1">
      <alignment horizontal="center" wrapText="1"/>
    </xf>
    <xf numFmtId="165" fontId="47" fillId="5" borderId="76" xfId="0" applyNumberFormat="1" applyFont="1" applyFill="1" applyBorder="1" applyAlignment="1">
      <alignment horizontal="center" wrapText="1"/>
    </xf>
    <xf numFmtId="0" fontId="47" fillId="5" borderId="114" xfId="0" applyFont="1" applyFill="1" applyBorder="1" applyAlignment="1">
      <alignment horizontal="center" wrapText="1"/>
    </xf>
    <xf numFmtId="0" fontId="47" fillId="5" borderId="41" xfId="0" applyFont="1" applyFill="1" applyBorder="1" applyAlignment="1">
      <alignment horizontal="center" wrapText="1"/>
    </xf>
    <xf numFmtId="0" fontId="47" fillId="5" borderId="149" xfId="0" applyFont="1" applyFill="1" applyBorder="1" applyAlignment="1">
      <alignment horizontal="center" wrapText="1"/>
    </xf>
    <xf numFmtId="0" fontId="47" fillId="0" borderId="80" xfId="0" applyFont="1" applyBorder="1" applyAlignment="1">
      <alignment horizontal="center" vertical="center"/>
    </xf>
    <xf numFmtId="0" fontId="48" fillId="5" borderId="62" xfId="0" applyFont="1" applyFill="1" applyBorder="1" applyAlignment="1">
      <alignment horizontal="center" vertical="center" wrapText="1"/>
    </xf>
    <xf numFmtId="0" fontId="48" fillId="5" borderId="63" xfId="0" applyFont="1" applyFill="1" applyBorder="1" applyAlignment="1">
      <alignment horizontal="center" vertical="center" wrapText="1"/>
    </xf>
    <xf numFmtId="44" fontId="47" fillId="5" borderId="37" xfId="0" applyNumberFormat="1" applyFont="1" applyFill="1" applyBorder="1" applyAlignment="1">
      <alignment horizontal="center"/>
    </xf>
    <xf numFmtId="44" fontId="47" fillId="5" borderId="38" xfId="0" applyNumberFormat="1" applyFont="1" applyFill="1" applyBorder="1" applyAlignment="1">
      <alignment horizontal="center"/>
    </xf>
    <xf numFmtId="44" fontId="47" fillId="5" borderId="87" xfId="0" applyNumberFormat="1" applyFont="1" applyFill="1" applyBorder="1" applyAlignment="1">
      <alignment horizontal="center"/>
    </xf>
    <xf numFmtId="0" fontId="47" fillId="5" borderId="79" xfId="0" applyFont="1" applyFill="1" applyBorder="1" applyAlignment="1">
      <alignment horizontal="center" vertical="center"/>
    </xf>
    <xf numFmtId="0" fontId="47" fillId="5" borderId="84" xfId="0" applyFont="1" applyFill="1" applyBorder="1" applyAlignment="1">
      <alignment horizontal="center" vertical="center"/>
    </xf>
    <xf numFmtId="0" fontId="47" fillId="5" borderId="98" xfId="0" applyFont="1" applyFill="1" applyBorder="1" applyAlignment="1">
      <alignment horizontal="center" vertical="center"/>
    </xf>
    <xf numFmtId="0" fontId="49" fillId="0" borderId="81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7" fillId="5" borderId="137" xfId="0" applyFont="1" applyFill="1" applyBorder="1" applyAlignment="1">
      <alignment horizontal="center" vertical="center"/>
    </xf>
    <xf numFmtId="0" fontId="47" fillId="5" borderId="142" xfId="0" applyFont="1" applyFill="1" applyBorder="1" applyAlignment="1">
      <alignment horizontal="center" vertical="center"/>
    </xf>
    <xf numFmtId="0" fontId="47" fillId="5" borderId="145" xfId="0" applyFont="1" applyFill="1" applyBorder="1" applyAlignment="1">
      <alignment horizontal="center" vertical="center"/>
    </xf>
    <xf numFmtId="0" fontId="60" fillId="0" borderId="138" xfId="0" applyFont="1" applyBorder="1" applyAlignment="1">
      <alignment horizontal="center" vertical="center"/>
    </xf>
    <xf numFmtId="0" fontId="60" fillId="0" borderId="43" xfId="0" applyFont="1" applyBorder="1" applyAlignment="1">
      <alignment horizontal="center" vertical="center"/>
    </xf>
    <xf numFmtId="0" fontId="60" fillId="0" borderId="146" xfId="0" applyFont="1" applyBorder="1" applyAlignment="1">
      <alignment horizontal="center" vertical="center"/>
    </xf>
    <xf numFmtId="0" fontId="60" fillId="0" borderId="139" xfId="0" applyFont="1" applyBorder="1" applyAlignment="1">
      <alignment horizontal="center" vertical="center"/>
    </xf>
    <xf numFmtId="0" fontId="60" fillId="0" borderId="147" xfId="0" applyFont="1" applyBorder="1" applyAlignment="1">
      <alignment horizontal="center" vertical="center"/>
    </xf>
    <xf numFmtId="0" fontId="47" fillId="5" borderId="115" xfId="0" applyFont="1" applyFill="1" applyBorder="1" applyAlignment="1">
      <alignment horizontal="center" vertical="center"/>
    </xf>
    <xf numFmtId="0" fontId="47" fillId="5" borderId="116" xfId="0" applyFont="1" applyFill="1" applyBorder="1" applyAlignment="1">
      <alignment horizontal="center" vertical="center"/>
    </xf>
    <xf numFmtId="0" fontId="47" fillId="5" borderId="117" xfId="0" applyFont="1" applyFill="1" applyBorder="1" applyAlignment="1">
      <alignment horizontal="center" vertical="center"/>
    </xf>
    <xf numFmtId="0" fontId="60" fillId="0" borderId="83" xfId="0" applyFont="1" applyBorder="1" applyAlignment="1">
      <alignment horizontal="center" vertical="center"/>
    </xf>
    <xf numFmtId="0" fontId="60" fillId="0" borderId="90" xfId="0" applyFont="1" applyBorder="1" applyAlignment="1">
      <alignment horizontal="center" vertical="center"/>
    </xf>
    <xf numFmtId="0" fontId="60" fillId="0" borderId="107" xfId="0" applyFont="1" applyBorder="1" applyAlignment="1">
      <alignment horizontal="center" vertical="center" wrapText="1"/>
    </xf>
    <xf numFmtId="0" fontId="47" fillId="5" borderId="133" xfId="0" applyFont="1" applyFill="1" applyBorder="1" applyAlignment="1">
      <alignment horizontal="center" vertical="center"/>
    </xf>
    <xf numFmtId="0" fontId="49" fillId="0" borderId="83" xfId="0" applyFont="1" applyBorder="1" applyAlignment="1">
      <alignment horizontal="center" vertical="center"/>
    </xf>
    <xf numFmtId="0" fontId="47" fillId="5" borderId="118" xfId="0" applyFont="1" applyFill="1" applyBorder="1" applyAlignment="1">
      <alignment horizontal="center" vertical="center"/>
    </xf>
    <xf numFmtId="0" fontId="60" fillId="0" borderId="66" xfId="0" applyFont="1" applyBorder="1" applyAlignment="1">
      <alignment horizontal="center" vertical="center"/>
    </xf>
    <xf numFmtId="0" fontId="47" fillId="5" borderId="44" xfId="0" applyFont="1" applyFill="1" applyBorder="1" applyAlignment="1">
      <alignment horizontal="center" wrapText="1"/>
    </xf>
    <xf numFmtId="165" fontId="47" fillId="0" borderId="138" xfId="0" applyNumberFormat="1" applyFont="1" applyBorder="1" applyAlignment="1">
      <alignment horizontal="left" vertical="center" indent="1"/>
    </xf>
    <xf numFmtId="165" fontId="47" fillId="0" borderId="146" xfId="0" applyNumberFormat="1" applyFont="1" applyBorder="1" applyAlignment="1">
      <alignment horizontal="left" vertical="center" indent="1"/>
    </xf>
    <xf numFmtId="165" fontId="47" fillId="0" borderId="138" xfId="0" applyNumberFormat="1" applyFont="1" applyBorder="1" applyAlignment="1">
      <alignment horizontal="center" vertical="center" wrapText="1"/>
    </xf>
    <xf numFmtId="165" fontId="47" fillId="0" borderId="146" xfId="0" applyNumberFormat="1" applyFont="1" applyBorder="1" applyAlignment="1">
      <alignment horizontal="center" vertical="center" wrapText="1"/>
    </xf>
    <xf numFmtId="0" fontId="47" fillId="0" borderId="94" xfId="0" applyFont="1" applyBorder="1" applyAlignment="1">
      <alignment horizontal="center" vertical="center" wrapText="1"/>
    </xf>
    <xf numFmtId="0" fontId="47" fillId="0" borderId="69" xfId="0" applyFont="1" applyBorder="1" applyAlignment="1">
      <alignment horizontal="center" vertical="center" wrapText="1"/>
    </xf>
    <xf numFmtId="0" fontId="47" fillId="0" borderId="119" xfId="0" applyFont="1" applyBorder="1" applyAlignment="1">
      <alignment horizontal="center" vertical="center" wrapText="1"/>
    </xf>
    <xf numFmtId="0" fontId="47" fillId="0" borderId="80" xfId="0" applyFont="1" applyBorder="1" applyAlignment="1">
      <alignment horizontal="center" wrapText="1"/>
    </xf>
    <xf numFmtId="0" fontId="47" fillId="0" borderId="38" xfId="0" applyFont="1" applyBorder="1" applyAlignment="1">
      <alignment horizontal="center" wrapText="1"/>
    </xf>
    <xf numFmtId="0" fontId="47" fillId="0" borderId="0" xfId="0" applyFont="1" applyAlignment="1">
      <alignment horizontal="center" wrapText="1"/>
    </xf>
    <xf numFmtId="0" fontId="47" fillId="0" borderId="121" xfId="0" applyFont="1" applyBorder="1" applyAlignment="1">
      <alignment horizontal="center" wrapText="1"/>
    </xf>
    <xf numFmtId="0" fontId="47" fillId="8" borderId="80" xfId="0" applyFont="1" applyFill="1" applyBorder="1" applyAlignment="1">
      <alignment horizontal="center" wrapText="1"/>
    </xf>
    <xf numFmtId="0" fontId="47" fillId="8" borderId="38" xfId="0" applyFont="1" applyFill="1" applyBorder="1" applyAlignment="1">
      <alignment horizontal="center" wrapText="1"/>
    </xf>
    <xf numFmtId="0" fontId="47" fillId="8" borderId="0" xfId="0" applyFont="1" applyFill="1" applyAlignment="1">
      <alignment horizontal="center" wrapText="1"/>
    </xf>
    <xf numFmtId="0" fontId="47" fillId="8" borderId="121" xfId="0" applyFont="1" applyFill="1" applyBorder="1" applyAlignment="1">
      <alignment horizontal="center" wrapText="1"/>
    </xf>
    <xf numFmtId="0" fontId="47" fillId="6" borderId="94" xfId="0" applyFont="1" applyFill="1" applyBorder="1" applyAlignment="1">
      <alignment horizontal="center" vertical="center" wrapText="1"/>
    </xf>
    <xf numFmtId="0" fontId="47" fillId="6" borderId="69" xfId="0" applyFont="1" applyFill="1" applyBorder="1" applyAlignment="1">
      <alignment horizontal="center" vertical="center" wrapText="1"/>
    </xf>
    <xf numFmtId="0" fontId="47" fillId="6" borderId="76" xfId="0" applyFont="1" applyFill="1" applyBorder="1" applyAlignment="1">
      <alignment horizontal="center" vertical="center" wrapText="1"/>
    </xf>
    <xf numFmtId="0" fontId="47" fillId="6" borderId="119" xfId="0" applyFont="1" applyFill="1" applyBorder="1" applyAlignment="1">
      <alignment horizontal="center" vertical="center" wrapText="1"/>
    </xf>
    <xf numFmtId="0" fontId="47" fillId="8" borderId="94" xfId="0" applyFont="1" applyFill="1" applyBorder="1" applyAlignment="1">
      <alignment horizontal="center" vertical="center" wrapText="1"/>
    </xf>
    <xf numFmtId="0" fontId="47" fillId="8" borderId="69" xfId="0" applyFont="1" applyFill="1" applyBorder="1" applyAlignment="1">
      <alignment horizontal="center" vertical="center" wrapText="1"/>
    </xf>
    <xf numFmtId="0" fontId="47" fillId="8" borderId="76" xfId="0" applyFont="1" applyFill="1" applyBorder="1" applyAlignment="1">
      <alignment horizontal="center" vertical="center" wrapText="1"/>
    </xf>
    <xf numFmtId="0" fontId="47" fillId="8" borderId="119" xfId="0" applyFont="1" applyFill="1" applyBorder="1" applyAlignment="1">
      <alignment horizontal="center" vertical="center" wrapText="1"/>
    </xf>
    <xf numFmtId="0" fontId="47" fillId="0" borderId="44" xfId="0" applyFont="1" applyBorder="1" applyAlignment="1">
      <alignment horizontal="center" wrapText="1"/>
    </xf>
    <xf numFmtId="0" fontId="49" fillId="0" borderId="83" xfId="0" applyFont="1" applyBorder="1" applyAlignment="1">
      <alignment horizontal="center" vertical="center" wrapText="1"/>
    </xf>
    <xf numFmtId="0" fontId="49" fillId="0" borderId="43" xfId="0" applyFont="1" applyBorder="1" applyAlignment="1">
      <alignment horizontal="center" vertical="center" wrapText="1"/>
    </xf>
    <xf numFmtId="0" fontId="49" fillId="0" borderId="90" xfId="0" applyFont="1" applyBorder="1" applyAlignment="1">
      <alignment horizontal="center" vertical="center" wrapText="1"/>
    </xf>
    <xf numFmtId="0" fontId="49" fillId="0" borderId="107" xfId="0" applyFont="1" applyBorder="1" applyAlignment="1">
      <alignment horizontal="center" vertical="center" wrapText="1"/>
    </xf>
    <xf numFmtId="0" fontId="47" fillId="0" borderId="134" xfId="0" applyFont="1" applyBorder="1" applyAlignment="1">
      <alignment horizontal="center" wrapText="1"/>
    </xf>
    <xf numFmtId="0" fontId="47" fillId="0" borderId="132" xfId="0" applyFont="1" applyBorder="1" applyAlignment="1">
      <alignment horizontal="center" vertical="center" wrapText="1"/>
    </xf>
    <xf numFmtId="0" fontId="48" fillId="8" borderId="38" xfId="0" applyFont="1" applyFill="1" applyBorder="1" applyAlignment="1">
      <alignment horizontal="center" vertical="center" wrapText="1"/>
    </xf>
    <xf numFmtId="0" fontId="48" fillId="8" borderId="87" xfId="0" applyFont="1" applyFill="1" applyBorder="1" applyAlignment="1">
      <alignment horizontal="center" vertical="center" wrapText="1"/>
    </xf>
    <xf numFmtId="2" fontId="50" fillId="0" borderId="38" xfId="1" applyNumberFormat="1" applyFont="1" applyFill="1" applyBorder="1" applyAlignment="1">
      <alignment horizontal="center" vertical="center"/>
    </xf>
    <xf numFmtId="2" fontId="50" fillId="0" borderId="87" xfId="1" applyNumberFormat="1" applyFont="1" applyFill="1" applyBorder="1" applyAlignment="1">
      <alignment horizontal="center" vertical="center"/>
    </xf>
    <xf numFmtId="2" fontId="50" fillId="0" borderId="80" xfId="1" applyNumberFormat="1" applyFont="1" applyFill="1" applyBorder="1" applyAlignment="1">
      <alignment horizontal="center" vertical="center"/>
    </xf>
    <xf numFmtId="0" fontId="47" fillId="8" borderId="134" xfId="0" applyFont="1" applyFill="1" applyBorder="1" applyAlignment="1">
      <alignment horizontal="center" wrapText="1"/>
    </xf>
    <xf numFmtId="2" fontId="50" fillId="0" borderId="48" xfId="1" applyNumberFormat="1" applyFont="1" applyFill="1" applyBorder="1" applyAlignment="1">
      <alignment horizontal="center" vertical="center"/>
    </xf>
    <xf numFmtId="2" fontId="50" fillId="0" borderId="46" xfId="1" applyNumberFormat="1" applyFont="1" applyFill="1" applyBorder="1" applyAlignment="1">
      <alignment horizontal="center" vertical="center"/>
    </xf>
    <xf numFmtId="43" fontId="47" fillId="8" borderId="37" xfId="0" applyNumberFormat="1" applyFont="1" applyFill="1" applyBorder="1" applyAlignment="1">
      <alignment horizontal="center" wrapText="1"/>
    </xf>
    <xf numFmtId="43" fontId="47" fillId="8" borderId="38" xfId="0" applyNumberFormat="1" applyFont="1" applyFill="1" applyBorder="1" applyAlignment="1">
      <alignment horizontal="center" wrapText="1"/>
    </xf>
    <xf numFmtId="43" fontId="47" fillId="8" borderId="87" xfId="0" applyNumberFormat="1" applyFont="1" applyFill="1" applyBorder="1" applyAlignment="1">
      <alignment horizontal="center" wrapText="1"/>
    </xf>
    <xf numFmtId="0" fontId="49" fillId="0" borderId="138" xfId="0" applyFont="1" applyBorder="1" applyAlignment="1">
      <alignment horizontal="center" vertical="center"/>
    </xf>
    <xf numFmtId="0" fontId="49" fillId="0" borderId="146" xfId="0" applyFont="1" applyBorder="1" applyAlignment="1">
      <alignment horizontal="center" vertical="center"/>
    </xf>
    <xf numFmtId="0" fontId="49" fillId="0" borderId="139" xfId="0" applyFont="1" applyBorder="1" applyAlignment="1">
      <alignment horizontal="center" vertical="center"/>
    </xf>
    <xf numFmtId="0" fontId="49" fillId="0" borderId="147" xfId="0" applyFont="1" applyBorder="1" applyAlignment="1">
      <alignment horizontal="center" vertical="center"/>
    </xf>
    <xf numFmtId="0" fontId="47" fillId="8" borderId="46" xfId="0" applyFont="1" applyFill="1" applyBorder="1" applyAlignment="1">
      <alignment horizontal="center" wrapText="1"/>
    </xf>
    <xf numFmtId="0" fontId="49" fillId="0" borderId="66" xfId="0" applyFont="1" applyBorder="1" applyAlignment="1">
      <alignment horizontal="center" vertical="center"/>
    </xf>
    <xf numFmtId="0" fontId="47" fillId="8" borderId="95" xfId="0" applyFont="1" applyFill="1" applyBorder="1" applyAlignment="1">
      <alignment horizontal="center" wrapText="1"/>
    </xf>
    <xf numFmtId="0" fontId="47" fillId="8" borderId="80" xfId="0" applyFont="1" applyFill="1" applyBorder="1" applyAlignment="1">
      <alignment horizontal="center" vertical="center" wrapText="1"/>
    </xf>
    <xf numFmtId="0" fontId="47" fillId="8" borderId="38" xfId="0" applyFont="1" applyFill="1" applyBorder="1" applyAlignment="1">
      <alignment horizontal="center" vertical="center" wrapText="1"/>
    </xf>
    <xf numFmtId="0" fontId="47" fillId="8" borderId="95" xfId="0" applyFont="1" applyFill="1" applyBorder="1" applyAlignment="1">
      <alignment horizontal="center" vertical="center" wrapText="1"/>
    </xf>
    <xf numFmtId="0" fontId="48" fillId="8" borderId="80" xfId="0" applyFont="1" applyFill="1" applyBorder="1" applyAlignment="1">
      <alignment horizontal="center" vertical="center" wrapText="1"/>
    </xf>
    <xf numFmtId="44" fontId="47" fillId="8" borderId="37" xfId="0" applyNumberFormat="1" applyFont="1" applyFill="1" applyBorder="1" applyAlignment="1">
      <alignment horizontal="center"/>
    </xf>
    <xf numFmtId="44" fontId="47" fillId="8" borderId="38" xfId="0" applyNumberFormat="1" applyFont="1" applyFill="1" applyBorder="1" applyAlignment="1">
      <alignment horizontal="center"/>
    </xf>
    <xf numFmtId="44" fontId="47" fillId="8" borderId="87" xfId="0" applyNumberFormat="1" applyFont="1" applyFill="1" applyBorder="1" applyAlignment="1">
      <alignment horizontal="center"/>
    </xf>
    <xf numFmtId="0" fontId="47" fillId="8" borderId="73" xfId="0" applyFont="1" applyFill="1" applyBorder="1" applyAlignment="1">
      <alignment horizontal="center" wrapText="1"/>
    </xf>
    <xf numFmtId="0" fontId="47" fillId="8" borderId="87" xfId="0" applyFont="1" applyFill="1" applyBorder="1" applyAlignment="1">
      <alignment horizontal="center" wrapText="1"/>
    </xf>
    <xf numFmtId="165" fontId="47" fillId="8" borderId="109" xfId="0" applyNumberFormat="1" applyFont="1" applyFill="1" applyBorder="1" applyAlignment="1">
      <alignment horizontal="center" wrapText="1"/>
    </xf>
    <xf numFmtId="165" fontId="47" fillId="8" borderId="76" xfId="0" applyNumberFormat="1" applyFont="1" applyFill="1" applyBorder="1" applyAlignment="1">
      <alignment horizontal="center" wrapText="1"/>
    </xf>
    <xf numFmtId="0" fontId="47" fillId="8" borderId="114" xfId="0" applyFont="1" applyFill="1" applyBorder="1" applyAlignment="1">
      <alignment horizontal="center" wrapText="1"/>
    </xf>
    <xf numFmtId="0" fontId="47" fillId="8" borderId="41" xfId="0" applyFont="1" applyFill="1" applyBorder="1" applyAlignment="1">
      <alignment horizontal="center" wrapText="1"/>
    </xf>
    <xf numFmtId="0" fontId="47" fillId="8" borderId="149" xfId="0" applyFont="1" applyFill="1" applyBorder="1" applyAlignment="1">
      <alignment horizontal="center" wrapText="1"/>
    </xf>
    <xf numFmtId="0" fontId="47" fillId="8" borderId="83" xfId="0" applyFont="1" applyFill="1" applyBorder="1" applyAlignment="1">
      <alignment horizontal="center" vertical="center" wrapText="1"/>
    </xf>
    <xf numFmtId="0" fontId="47" fillId="8" borderId="43" xfId="0" applyFont="1" applyFill="1" applyBorder="1" applyAlignment="1">
      <alignment horizontal="center" vertical="center" wrapText="1"/>
    </xf>
    <xf numFmtId="0" fontId="47" fillId="8" borderId="66" xfId="0" applyFont="1" applyFill="1" applyBorder="1" applyAlignment="1">
      <alignment horizontal="center" vertical="center" wrapText="1"/>
    </xf>
    <xf numFmtId="165" fontId="47" fillId="0" borderId="66" xfId="0" applyNumberFormat="1" applyFont="1" applyBorder="1" applyAlignment="1">
      <alignment horizontal="right" vertical="center" indent="1"/>
    </xf>
    <xf numFmtId="165" fontId="47" fillId="0" borderId="102" xfId="0" applyNumberFormat="1" applyFont="1" applyBorder="1" applyAlignment="1">
      <alignment horizontal="right" vertical="center" indent="1"/>
    </xf>
    <xf numFmtId="165" fontId="47" fillId="0" borderId="67" xfId="0" applyNumberFormat="1" applyFont="1" applyBorder="1" applyAlignment="1">
      <alignment horizontal="right" vertical="center" indent="1"/>
    </xf>
    <xf numFmtId="165" fontId="47" fillId="0" borderId="68" xfId="0" applyNumberFormat="1" applyFont="1" applyBorder="1" applyAlignment="1">
      <alignment horizontal="right" vertical="center" indent="1"/>
    </xf>
    <xf numFmtId="0" fontId="48" fillId="0" borderId="80" xfId="0" applyFont="1" applyBorder="1" applyAlignment="1">
      <alignment horizontal="center" vertical="center"/>
    </xf>
    <xf numFmtId="0" fontId="48" fillId="0" borderId="38" xfId="0" applyFont="1" applyBorder="1" applyAlignment="1">
      <alignment horizontal="center" vertical="center"/>
    </xf>
    <xf numFmtId="0" fontId="47" fillId="8" borderId="104" xfId="0" applyFont="1" applyFill="1" applyBorder="1" applyAlignment="1">
      <alignment horizontal="center" vertical="center" wrapText="1"/>
    </xf>
    <xf numFmtId="0" fontId="47" fillId="8" borderId="87" xfId="0" applyFont="1" applyFill="1" applyBorder="1" applyAlignment="1">
      <alignment horizontal="center" vertical="center" wrapText="1"/>
    </xf>
    <xf numFmtId="0" fontId="48" fillId="6" borderId="80" xfId="0" applyFont="1" applyFill="1" applyBorder="1" applyAlignment="1">
      <alignment horizontal="center" vertical="center"/>
    </xf>
    <xf numFmtId="0" fontId="48" fillId="6" borderId="38" xfId="0" applyFont="1" applyFill="1" applyBorder="1" applyAlignment="1">
      <alignment horizontal="center" vertical="center"/>
    </xf>
    <xf numFmtId="43" fontId="47" fillId="8" borderId="95" xfId="0" applyNumberFormat="1" applyFont="1" applyFill="1" applyBorder="1" applyAlignment="1">
      <alignment horizontal="center" vertical="center" wrapText="1"/>
    </xf>
    <xf numFmtId="43" fontId="47" fillId="8" borderId="95" xfId="2" applyNumberFormat="1" applyFont="1" applyFill="1" applyBorder="1" applyAlignment="1">
      <alignment horizontal="center" vertical="center" wrapText="1"/>
    </xf>
    <xf numFmtId="0" fontId="47" fillId="8" borderId="38" xfId="2" applyFont="1" applyFill="1" applyBorder="1" applyAlignment="1">
      <alignment horizontal="center" vertical="center" wrapText="1"/>
    </xf>
    <xf numFmtId="0" fontId="47" fillId="0" borderId="82" xfId="0" applyFont="1" applyBorder="1" applyAlignment="1">
      <alignment horizontal="center" vertical="center" wrapText="1"/>
    </xf>
    <xf numFmtId="165" fontId="47" fillId="0" borderId="1" xfId="0" applyNumberFormat="1" applyFont="1" applyBorder="1" applyAlignment="1">
      <alignment horizontal="left" vertical="center" indent="1"/>
    </xf>
    <xf numFmtId="0" fontId="47" fillId="5" borderId="1" xfId="0" quotePrefix="1" applyFont="1" applyFill="1" applyBorder="1" applyAlignment="1">
      <alignment horizontal="center" vertical="center" wrapText="1"/>
    </xf>
    <xf numFmtId="0" fontId="48" fillId="0" borderId="80" xfId="0" applyFont="1" applyBorder="1" applyAlignment="1">
      <alignment horizontal="center" vertical="center" wrapText="1"/>
    </xf>
    <xf numFmtId="0" fontId="48" fillId="0" borderId="38" xfId="0" applyFont="1" applyBorder="1" applyAlignment="1">
      <alignment horizontal="center" vertical="center" wrapText="1"/>
    </xf>
    <xf numFmtId="0" fontId="47" fillId="0" borderId="81" xfId="0" applyFont="1" applyBorder="1" applyAlignment="1">
      <alignment horizontal="left" vertical="center" wrapText="1" indent="1"/>
    </xf>
    <xf numFmtId="0" fontId="47" fillId="0" borderId="2" xfId="0" applyFont="1" applyBorder="1" applyAlignment="1">
      <alignment horizontal="left" vertical="center" wrapText="1" indent="1"/>
    </xf>
    <xf numFmtId="0" fontId="47" fillId="0" borderId="37" xfId="0" applyFont="1" applyBorder="1" applyAlignment="1">
      <alignment horizontal="left" vertical="center" wrapText="1" indent="1"/>
    </xf>
    <xf numFmtId="2" fontId="50" fillId="0" borderId="37" xfId="1" applyNumberFormat="1" applyFont="1" applyFill="1" applyBorder="1" applyAlignment="1">
      <alignment horizontal="center" vertical="center"/>
    </xf>
    <xf numFmtId="0" fontId="49" fillId="5" borderId="48" xfId="0" applyFont="1" applyFill="1" applyBorder="1" applyAlignment="1">
      <alignment horizontal="left" vertical="center" wrapText="1"/>
    </xf>
    <xf numFmtId="0" fontId="49" fillId="5" borderId="38" xfId="0" applyFont="1" applyFill="1" applyBorder="1" applyAlignment="1">
      <alignment horizontal="left" vertical="center" wrapText="1"/>
    </xf>
    <xf numFmtId="0" fontId="49" fillId="5" borderId="48" xfId="0" applyFont="1" applyFill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0" fontId="49" fillId="0" borderId="71" xfId="0" applyFont="1" applyBorder="1" applyAlignment="1">
      <alignment horizontal="center" vertical="center" wrapText="1"/>
    </xf>
    <xf numFmtId="0" fontId="48" fillId="0" borderId="62" xfId="0" applyFont="1" applyBorder="1" applyAlignment="1">
      <alignment horizontal="center" vertical="center" wrapText="1"/>
    </xf>
    <xf numFmtId="0" fontId="48" fillId="0" borderId="63" xfId="0" applyFont="1" applyBorder="1" applyAlignment="1">
      <alignment horizontal="center" vertical="center" wrapText="1"/>
    </xf>
    <xf numFmtId="2" fontId="50" fillId="0" borderId="1" xfId="1" applyNumberFormat="1" applyFont="1" applyFill="1" applyBorder="1" applyAlignment="1">
      <alignment horizontal="center" vertical="center"/>
    </xf>
    <xf numFmtId="0" fontId="46" fillId="0" borderId="38" xfId="0" applyFont="1" applyBorder="1" applyAlignment="1">
      <alignment horizontal="center" wrapText="1"/>
    </xf>
    <xf numFmtId="0" fontId="46" fillId="0" borderId="46" xfId="0" applyFont="1" applyBorder="1" applyAlignment="1">
      <alignment horizontal="center" wrapText="1"/>
    </xf>
    <xf numFmtId="0" fontId="49" fillId="0" borderId="48" xfId="0" applyFont="1" applyBorder="1" applyAlignment="1">
      <alignment horizontal="left" vertical="center" wrapText="1"/>
    </xf>
    <xf numFmtId="0" fontId="49" fillId="0" borderId="48" xfId="0" applyFont="1" applyBorder="1" applyAlignment="1">
      <alignment horizontal="center" vertical="center" wrapText="1"/>
    </xf>
    <xf numFmtId="0" fontId="47" fillId="8" borderId="46" xfId="0" applyFont="1" applyFill="1" applyBorder="1" applyAlignment="1">
      <alignment horizontal="center" vertical="center" wrapText="1"/>
    </xf>
    <xf numFmtId="0" fontId="47" fillId="8" borderId="1" xfId="0" applyFont="1" applyFill="1" applyBorder="1" applyAlignment="1">
      <alignment horizontal="center" vertical="center" wrapText="1"/>
    </xf>
    <xf numFmtId="0" fontId="47" fillId="8" borderId="104" xfId="0" applyFont="1" applyFill="1" applyBorder="1" applyAlignment="1">
      <alignment horizontal="center" vertical="top" wrapText="1"/>
    </xf>
    <xf numFmtId="0" fontId="47" fillId="8" borderId="0" xfId="0" applyFont="1" applyFill="1" applyAlignment="1">
      <alignment horizontal="center" vertical="top" wrapText="1"/>
    </xf>
    <xf numFmtId="0" fontId="47" fillId="8" borderId="121" xfId="0" applyFont="1" applyFill="1" applyBorder="1" applyAlignment="1">
      <alignment horizontal="center" vertical="top" wrapText="1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7" fillId="0" borderId="1" xfId="0" applyFont="1" applyBorder="1" applyAlignment="1">
      <alignment vertical="center" wrapText="1"/>
    </xf>
    <xf numFmtId="0" fontId="47" fillId="0" borderId="2" xfId="0" applyFont="1" applyBorder="1" applyAlignment="1">
      <alignment vertical="center" wrapText="1"/>
    </xf>
    <xf numFmtId="166" fontId="47" fillId="0" borderId="1" xfId="0" applyNumberFormat="1" applyFont="1" applyBorder="1" applyAlignment="1">
      <alignment horizontal="right" vertical="center"/>
    </xf>
    <xf numFmtId="0" fontId="47" fillId="0" borderId="2" xfId="0" applyFont="1" applyBorder="1" applyAlignment="1">
      <alignment horizontal="right" vertical="center"/>
    </xf>
    <xf numFmtId="0" fontId="48" fillId="0" borderId="81" xfId="0" applyFont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0" borderId="88" xfId="0" applyFont="1" applyBorder="1" applyAlignment="1">
      <alignment horizontal="center" vertical="center"/>
    </xf>
    <xf numFmtId="0" fontId="47" fillId="0" borderId="87" xfId="0" applyFont="1" applyBorder="1" applyAlignment="1">
      <alignment horizontal="center" vertical="center"/>
    </xf>
    <xf numFmtId="0" fontId="48" fillId="0" borderId="80" xfId="1" applyFont="1" applyFill="1" applyBorder="1" applyAlignment="1">
      <alignment horizontal="center" vertical="center" wrapText="1"/>
    </xf>
    <xf numFmtId="0" fontId="48" fillId="0" borderId="38" xfId="1" applyFont="1" applyFill="1" applyBorder="1" applyAlignment="1">
      <alignment horizontal="center" vertical="center" wrapText="1"/>
    </xf>
    <xf numFmtId="0" fontId="48" fillId="0" borderId="87" xfId="1" applyFont="1" applyFill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/>
    </xf>
    <xf numFmtId="43" fontId="48" fillId="0" borderId="81" xfId="0" applyNumberFormat="1" applyFont="1" applyBorder="1" applyAlignment="1">
      <alignment horizontal="center" vertical="center"/>
    </xf>
    <xf numFmtId="3" fontId="48" fillId="0" borderId="81" xfId="0" quotePrefix="1" applyNumberFormat="1" applyFont="1" applyBorder="1" applyAlignment="1">
      <alignment horizontal="center" vertical="center" wrapText="1"/>
    </xf>
    <xf numFmtId="165" fontId="48" fillId="0" borderId="81" xfId="1" applyNumberFormat="1" applyFont="1" applyFill="1" applyBorder="1" applyAlignment="1">
      <alignment horizontal="center" vertical="center" wrapText="1"/>
    </xf>
    <xf numFmtId="0" fontId="52" fillId="0" borderId="2" xfId="1" applyFont="1" applyFill="1" applyBorder="1" applyAlignment="1">
      <alignment horizontal="center" vertical="center"/>
    </xf>
    <xf numFmtId="0" fontId="52" fillId="0" borderId="37" xfId="1" applyFont="1" applyFill="1" applyBorder="1" applyAlignment="1">
      <alignment horizontal="center" vertical="center"/>
    </xf>
    <xf numFmtId="0" fontId="48" fillId="0" borderId="1" xfId="1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0" fontId="48" fillId="8" borderId="95" xfId="0" applyFont="1" applyFill="1" applyBorder="1" applyAlignment="1">
      <alignment horizontal="center" vertical="center" wrapText="1"/>
    </xf>
    <xf numFmtId="0" fontId="48" fillId="8" borderId="104" xfId="0" applyFont="1" applyFill="1" applyBorder="1" applyAlignment="1">
      <alignment horizontal="center" vertical="center" wrapText="1"/>
    </xf>
    <xf numFmtId="0" fontId="48" fillId="8" borderId="44" xfId="0" applyFont="1" applyFill="1" applyBorder="1" applyAlignment="1">
      <alignment horizontal="center" vertical="center" wrapText="1"/>
    </xf>
    <xf numFmtId="0" fontId="48" fillId="0" borderId="94" xfId="0" applyFont="1" applyBorder="1" applyAlignment="1">
      <alignment horizontal="center" vertical="center" wrapText="1"/>
    </xf>
    <xf numFmtId="0" fontId="48" fillId="0" borderId="69" xfId="0" applyFont="1" applyBorder="1" applyAlignment="1">
      <alignment horizontal="center" vertical="center" wrapText="1"/>
    </xf>
    <xf numFmtId="16" fontId="46" fillId="2" borderId="74" xfId="0" applyNumberFormat="1" applyFont="1" applyFill="1" applyBorder="1" applyAlignment="1">
      <alignment horizontal="center"/>
    </xf>
    <xf numFmtId="16" fontId="46" fillId="2" borderId="40" xfId="0" applyNumberFormat="1" applyFont="1" applyFill="1" applyBorder="1" applyAlignment="1">
      <alignment horizontal="center"/>
    </xf>
    <xf numFmtId="16" fontId="46" fillId="2" borderId="39" xfId="0" applyNumberFormat="1" applyFont="1" applyFill="1" applyBorder="1" applyAlignment="1">
      <alignment horizontal="center"/>
    </xf>
    <xf numFmtId="17" fontId="32" fillId="2" borderId="2" xfId="0" applyNumberFormat="1" applyFont="1" applyFill="1" applyBorder="1" applyAlignment="1">
      <alignment horizontal="center" vertical="center"/>
    </xf>
    <xf numFmtId="17" fontId="32" fillId="2" borderId="39" xfId="0" applyNumberFormat="1" applyFont="1" applyFill="1" applyBorder="1" applyAlignment="1">
      <alignment horizontal="center" vertical="center"/>
    </xf>
    <xf numFmtId="17" fontId="32" fillId="2" borderId="40" xfId="0" applyNumberFormat="1" applyFont="1" applyFill="1" applyBorder="1" applyAlignment="1">
      <alignment horizontal="center" vertical="center"/>
    </xf>
    <xf numFmtId="17" fontId="40" fillId="2" borderId="2" xfId="0" applyNumberFormat="1" applyFont="1" applyFill="1" applyBorder="1" applyAlignment="1">
      <alignment horizontal="center"/>
    </xf>
    <xf numFmtId="0" fontId="33" fillId="4" borderId="2" xfId="0" applyFont="1" applyFill="1" applyBorder="1" applyAlignment="1">
      <alignment horizontal="center" vertical="center"/>
    </xf>
    <xf numFmtId="0" fontId="33" fillId="4" borderId="37" xfId="0" applyFont="1" applyFill="1" applyBorder="1" applyAlignment="1">
      <alignment horizontal="center" vertical="center"/>
    </xf>
    <xf numFmtId="0" fontId="33" fillId="4" borderId="38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3" fillId="4" borderId="2" xfId="0" applyFont="1" applyFill="1" applyBorder="1" applyAlignment="1">
      <alignment horizontal="center" vertical="center" wrapText="1"/>
    </xf>
    <xf numFmtId="0" fontId="34" fillId="4" borderId="2" xfId="1" applyFont="1" applyFill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3" fillId="4" borderId="37" xfId="0" applyFont="1" applyFill="1" applyBorder="1" applyAlignment="1">
      <alignment horizontal="left" vertical="center"/>
    </xf>
    <xf numFmtId="0" fontId="33" fillId="4" borderId="38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left" vertical="center"/>
    </xf>
    <xf numFmtId="0" fontId="30" fillId="0" borderId="37" xfId="0" applyFont="1" applyBorder="1" applyAlignment="1">
      <alignment horizontal="left" vertical="center"/>
    </xf>
    <xf numFmtId="0" fontId="30" fillId="0" borderId="38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3" fillId="4" borderId="37" xfId="0" applyFont="1" applyFill="1" applyBorder="1" applyAlignment="1">
      <alignment horizontal="left" vertical="center" wrapText="1"/>
    </xf>
    <xf numFmtId="0" fontId="33" fillId="4" borderId="38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left" vertical="center" wrapText="1"/>
    </xf>
    <xf numFmtId="0" fontId="30" fillId="0" borderId="37" xfId="0" applyFont="1" applyBorder="1" applyAlignment="1">
      <alignment horizontal="left" vertical="center" wrapText="1"/>
    </xf>
    <xf numFmtId="0" fontId="30" fillId="0" borderId="38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0" fillId="7" borderId="37" xfId="0" applyFont="1" applyFill="1" applyBorder="1" applyAlignment="1">
      <alignment horizontal="left" vertical="center" wrapText="1"/>
    </xf>
    <xf numFmtId="0" fontId="30" fillId="7" borderId="38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30" fillId="0" borderId="46" xfId="0" applyFont="1" applyBorder="1" applyAlignment="1">
      <alignment horizontal="left" vertical="center" wrapText="1"/>
    </xf>
    <xf numFmtId="0" fontId="30" fillId="0" borderId="48" xfId="0" applyFont="1" applyBorder="1" applyAlignment="1">
      <alignment horizontal="left" vertical="center" wrapText="1"/>
    </xf>
    <xf numFmtId="0" fontId="35" fillId="0" borderId="48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5" fillId="0" borderId="46" xfId="0" applyFont="1" applyBorder="1" applyAlignment="1">
      <alignment horizontal="left" vertical="center" wrapText="1"/>
    </xf>
    <xf numFmtId="0" fontId="35" fillId="0" borderId="37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165" fontId="33" fillId="4" borderId="2" xfId="0" applyNumberFormat="1" applyFont="1" applyFill="1" applyBorder="1" applyAlignment="1">
      <alignment horizontal="right" vertical="center"/>
    </xf>
    <xf numFmtId="165" fontId="30" fillId="0" borderId="2" xfId="0" applyNumberFormat="1" applyFont="1" applyBorder="1" applyAlignment="1">
      <alignment horizontal="right" vertical="center"/>
    </xf>
    <xf numFmtId="165" fontId="35" fillId="0" borderId="37" xfId="0" applyNumberFormat="1" applyFont="1" applyBorder="1" applyAlignment="1">
      <alignment horizontal="right" vertical="center"/>
    </xf>
    <xf numFmtId="165" fontId="35" fillId="0" borderId="38" xfId="0" applyNumberFormat="1" applyFont="1" applyBorder="1" applyAlignment="1">
      <alignment horizontal="right" vertical="center"/>
    </xf>
    <xf numFmtId="165" fontId="35" fillId="0" borderId="1" xfId="0" applyNumberFormat="1" applyFont="1" applyBorder="1" applyAlignment="1">
      <alignment horizontal="right" vertical="center"/>
    </xf>
    <xf numFmtId="165" fontId="30" fillId="0" borderId="37" xfId="0" applyNumberFormat="1" applyFont="1" applyBorder="1" applyAlignment="1">
      <alignment horizontal="right" vertical="center"/>
    </xf>
    <xf numFmtId="165" fontId="30" fillId="0" borderId="38" xfId="0" applyNumberFormat="1" applyFont="1" applyBorder="1" applyAlignment="1">
      <alignment horizontal="right" vertical="center"/>
    </xf>
    <xf numFmtId="165" fontId="30" fillId="0" borderId="48" xfId="0" applyNumberFormat="1" applyFont="1" applyBorder="1" applyAlignment="1">
      <alignment horizontal="center" vertical="center"/>
    </xf>
    <xf numFmtId="165" fontId="30" fillId="0" borderId="38" xfId="0" applyNumberFormat="1" applyFont="1" applyBorder="1" applyAlignment="1">
      <alignment horizontal="center" vertical="center"/>
    </xf>
    <xf numFmtId="165" fontId="30" fillId="0" borderId="46" xfId="0" applyNumberFormat="1" applyFont="1" applyBorder="1" applyAlignment="1">
      <alignment horizontal="center" vertical="center"/>
    </xf>
    <xf numFmtId="165" fontId="30" fillId="0" borderId="48" xfId="0" applyNumberFormat="1" applyFont="1" applyBorder="1" applyAlignment="1">
      <alignment horizontal="right"/>
    </xf>
    <xf numFmtId="165" fontId="30" fillId="0" borderId="38" xfId="0" applyNumberFormat="1" applyFont="1" applyBorder="1" applyAlignment="1">
      <alignment horizontal="right"/>
    </xf>
    <xf numFmtId="165" fontId="30" fillId="0" borderId="46" xfId="0" applyNumberFormat="1" applyFont="1" applyBorder="1" applyAlignment="1">
      <alignment horizontal="right"/>
    </xf>
    <xf numFmtId="165" fontId="40" fillId="0" borderId="28" xfId="0" applyNumberFormat="1" applyFont="1" applyBorder="1" applyAlignment="1">
      <alignment horizontal="right" vertical="center"/>
    </xf>
    <xf numFmtId="165" fontId="40" fillId="0" borderId="2" xfId="0" applyNumberFormat="1" applyFont="1" applyBorder="1" applyAlignment="1">
      <alignment horizontal="right" vertical="center"/>
    </xf>
    <xf numFmtId="165" fontId="40" fillId="0" borderId="33" xfId="0" applyNumberFormat="1" applyFont="1" applyBorder="1" applyAlignment="1">
      <alignment horizontal="right" vertical="center"/>
    </xf>
    <xf numFmtId="165" fontId="30" fillId="0" borderId="1" xfId="0" applyNumberFormat="1" applyFont="1" applyBorder="1" applyAlignment="1">
      <alignment horizontal="right"/>
    </xf>
    <xf numFmtId="165" fontId="30" fillId="0" borderId="2" xfId="0" applyNumberFormat="1" applyFont="1" applyBorder="1" applyAlignment="1">
      <alignment horizontal="right"/>
    </xf>
    <xf numFmtId="165" fontId="30" fillId="0" borderId="2" xfId="0" applyNumberFormat="1" applyFont="1" applyBorder="1" applyAlignment="1">
      <alignment horizontal="right" vertical="center" wrapText="1"/>
    </xf>
    <xf numFmtId="165" fontId="30" fillId="0" borderId="2" xfId="0" applyNumberFormat="1" applyFont="1" applyBorder="1" applyAlignment="1">
      <alignment vertical="center" wrapText="1"/>
    </xf>
    <xf numFmtId="3" fontId="33" fillId="4" borderId="2" xfId="0" applyNumberFormat="1" applyFont="1" applyFill="1" applyBorder="1" applyAlignment="1">
      <alignment horizontal="center" vertical="center" wrapText="1"/>
    </xf>
    <xf numFmtId="3" fontId="33" fillId="4" borderId="2" xfId="0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5" fontId="33" fillId="4" borderId="2" xfId="1" applyNumberFormat="1" applyFont="1" applyFill="1" applyBorder="1" applyAlignment="1">
      <alignment horizontal="right" vertical="center"/>
    </xf>
    <xf numFmtId="165" fontId="35" fillId="4" borderId="2" xfId="0" applyNumberFormat="1" applyFont="1" applyFill="1" applyBorder="1" applyAlignment="1">
      <alignment horizontal="right" vertical="center" wrapText="1"/>
    </xf>
    <xf numFmtId="165" fontId="10" fillId="4" borderId="2" xfId="1" applyNumberFormat="1" applyFont="1" applyFill="1" applyBorder="1" applyAlignment="1">
      <alignment horizontal="right" vertical="center"/>
    </xf>
    <xf numFmtId="165" fontId="10" fillId="4" borderId="37" xfId="1" applyNumberFormat="1" applyFont="1" applyFill="1" applyBorder="1" applyAlignment="1">
      <alignment horizontal="center" vertical="center"/>
    </xf>
    <xf numFmtId="165" fontId="10" fillId="4" borderId="38" xfId="1" applyNumberFormat="1" applyFont="1" applyFill="1" applyBorder="1" applyAlignment="1">
      <alignment horizontal="center" vertical="center"/>
    </xf>
    <xf numFmtId="165" fontId="10" fillId="4" borderId="1" xfId="1" applyNumberFormat="1" applyFont="1" applyFill="1" applyBorder="1" applyAlignment="1">
      <alignment horizontal="center" vertical="center"/>
    </xf>
    <xf numFmtId="165" fontId="10" fillId="5" borderId="37" xfId="0" applyNumberFormat="1" applyFont="1" applyFill="1" applyBorder="1" applyAlignment="1">
      <alignment horizontal="right" vertical="center"/>
    </xf>
    <xf numFmtId="165" fontId="10" fillId="5" borderId="38" xfId="0" applyNumberFormat="1" applyFont="1" applyFill="1" applyBorder="1" applyAlignment="1">
      <alignment horizontal="right" vertical="center"/>
    </xf>
    <xf numFmtId="165" fontId="10" fillId="5" borderId="1" xfId="0" applyNumberFormat="1" applyFont="1" applyFill="1" applyBorder="1" applyAlignment="1">
      <alignment horizontal="right" vertical="center"/>
    </xf>
    <xf numFmtId="165" fontId="10" fillId="6" borderId="37" xfId="0" applyNumberFormat="1" applyFont="1" applyFill="1" applyBorder="1" applyAlignment="1">
      <alignment horizontal="right" vertical="center"/>
    </xf>
    <xf numFmtId="165" fontId="10" fillId="6" borderId="38" xfId="0" applyNumberFormat="1" applyFont="1" applyFill="1" applyBorder="1" applyAlignment="1">
      <alignment horizontal="right" vertical="center"/>
    </xf>
    <xf numFmtId="165" fontId="10" fillId="6" borderId="1" xfId="0" applyNumberFormat="1" applyFont="1" applyFill="1" applyBorder="1" applyAlignment="1">
      <alignment horizontal="right" vertical="center"/>
    </xf>
    <xf numFmtId="165" fontId="10" fillId="0" borderId="37" xfId="0" applyNumberFormat="1" applyFont="1" applyBorder="1" applyAlignment="1">
      <alignment horizontal="center" vertical="center"/>
    </xf>
    <xf numFmtId="165" fontId="10" fillId="0" borderId="38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0" fillId="0" borderId="37" xfId="0" applyNumberFormat="1" applyFont="1" applyBorder="1" applyAlignment="1">
      <alignment horizontal="right" vertical="center"/>
    </xf>
    <xf numFmtId="165" fontId="10" fillId="0" borderId="38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0" borderId="37" xfId="0" applyNumberFormat="1" applyFont="1" applyBorder="1" applyAlignment="1">
      <alignment horizontal="center"/>
    </xf>
    <xf numFmtId="165" fontId="10" fillId="0" borderId="38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5" fontId="10" fillId="0" borderId="46" xfId="0" applyNumberFormat="1" applyFont="1" applyBorder="1" applyAlignment="1">
      <alignment horizontal="right" vertical="center"/>
    </xf>
    <xf numFmtId="165" fontId="10" fillId="0" borderId="37" xfId="0" applyNumberFormat="1" applyFont="1" applyBorder="1" applyAlignment="1">
      <alignment horizontal="right"/>
    </xf>
    <xf numFmtId="165" fontId="10" fillId="0" borderId="38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0" fontId="33" fillId="4" borderId="37" xfId="0" applyFont="1" applyFill="1" applyBorder="1" applyAlignment="1">
      <alignment horizontal="center" vertical="center" wrapText="1"/>
    </xf>
    <xf numFmtId="0" fontId="30" fillId="4" borderId="38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33" fillId="4" borderId="2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/>
    </xf>
    <xf numFmtId="0" fontId="33" fillId="4" borderId="37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33" fillId="0" borderId="37" xfId="0" applyFont="1" applyBorder="1" applyAlignment="1">
      <alignment horizontal="center" wrapText="1"/>
    </xf>
    <xf numFmtId="0" fontId="30" fillId="0" borderId="38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3" fillId="0" borderId="37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34" fillId="4" borderId="2" xfId="1" applyNumberFormat="1" applyFont="1" applyFill="1" applyBorder="1" applyAlignment="1">
      <alignment horizontal="center" vertical="center"/>
    </xf>
    <xf numFmtId="0" fontId="37" fillId="4" borderId="2" xfId="1" applyFont="1" applyFill="1" applyBorder="1" applyAlignment="1">
      <alignment horizontal="center" vertical="center"/>
    </xf>
    <xf numFmtId="165" fontId="33" fillId="6" borderId="37" xfId="0" applyNumberFormat="1" applyFont="1" applyFill="1" applyBorder="1" applyAlignment="1">
      <alignment horizontal="right" vertical="center" wrapText="1"/>
    </xf>
    <xf numFmtId="165" fontId="33" fillId="6" borderId="38" xfId="0" applyNumberFormat="1" applyFont="1" applyFill="1" applyBorder="1" applyAlignment="1">
      <alignment horizontal="right" vertical="center" wrapText="1"/>
    </xf>
    <xf numFmtId="165" fontId="33" fillId="6" borderId="1" xfId="0" applyNumberFormat="1" applyFont="1" applyFill="1" applyBorder="1" applyAlignment="1">
      <alignment horizontal="right" vertical="center" wrapText="1"/>
    </xf>
    <xf numFmtId="4" fontId="30" fillId="5" borderId="43" xfId="0" applyNumberFormat="1" applyFont="1" applyFill="1" applyBorder="1" applyAlignment="1">
      <alignment horizontal="right" vertical="center"/>
    </xf>
    <xf numFmtId="164" fontId="33" fillId="4" borderId="1" xfId="1" applyNumberFormat="1" applyFont="1" applyFill="1" applyBorder="1" applyAlignment="1">
      <alignment horizontal="center" vertical="center"/>
    </xf>
    <xf numFmtId="164" fontId="33" fillId="4" borderId="2" xfId="1" applyNumberFormat="1" applyFont="1" applyFill="1" applyBorder="1" applyAlignment="1">
      <alignment horizontal="center" vertical="center"/>
    </xf>
    <xf numFmtId="165" fontId="30" fillId="5" borderId="2" xfId="0" applyNumberFormat="1" applyFont="1" applyFill="1" applyBorder="1" applyAlignment="1">
      <alignment horizontal="center" vertical="center"/>
    </xf>
    <xf numFmtId="4" fontId="30" fillId="5" borderId="2" xfId="0" applyNumberFormat="1" applyFont="1" applyFill="1" applyBorder="1" applyAlignment="1">
      <alignment horizontal="center"/>
    </xf>
    <xf numFmtId="4" fontId="30" fillId="5" borderId="37" xfId="0" applyNumberFormat="1" applyFont="1" applyFill="1" applyBorder="1" applyAlignment="1">
      <alignment horizontal="center"/>
    </xf>
    <xf numFmtId="165" fontId="35" fillId="6" borderId="37" xfId="0" applyNumberFormat="1" applyFont="1" applyFill="1" applyBorder="1" applyAlignment="1">
      <alignment horizontal="right" vertical="center"/>
    </xf>
    <xf numFmtId="165" fontId="35" fillId="6" borderId="38" xfId="0" applyNumberFormat="1" applyFont="1" applyFill="1" applyBorder="1" applyAlignment="1">
      <alignment horizontal="right" vertical="center"/>
    </xf>
    <xf numFmtId="165" fontId="35" fillId="6" borderId="1" xfId="0" applyNumberFormat="1" applyFont="1" applyFill="1" applyBorder="1" applyAlignment="1">
      <alignment horizontal="right" vertical="center"/>
    </xf>
    <xf numFmtId="0" fontId="35" fillId="6" borderId="37" xfId="0" applyFont="1" applyFill="1" applyBorder="1" applyAlignment="1">
      <alignment horizontal="right" vertical="center"/>
    </xf>
    <xf numFmtId="0" fontId="35" fillId="6" borderId="38" xfId="0" applyFont="1" applyFill="1" applyBorder="1" applyAlignment="1">
      <alignment horizontal="right" vertical="center"/>
    </xf>
    <xf numFmtId="0" fontId="35" fillId="6" borderId="1" xfId="0" applyFont="1" applyFill="1" applyBorder="1" applyAlignment="1">
      <alignment horizontal="right" vertical="center"/>
    </xf>
    <xf numFmtId="0" fontId="30" fillId="0" borderId="37" xfId="0" applyFont="1" applyBorder="1" applyAlignment="1">
      <alignment horizontal="right" vertical="center"/>
    </xf>
    <xf numFmtId="0" fontId="30" fillId="0" borderId="38" xfId="0" applyFont="1" applyBorder="1" applyAlignment="1">
      <alignment horizontal="right" vertical="center"/>
    </xf>
    <xf numFmtId="0" fontId="30" fillId="0" borderId="65" xfId="0" applyFont="1" applyBorder="1" applyAlignment="1">
      <alignment horizontal="right" vertical="center"/>
    </xf>
    <xf numFmtId="0" fontId="30" fillId="4" borderId="37" xfId="0" applyFont="1" applyFill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5" fontId="35" fillId="6" borderId="37" xfId="0" applyNumberFormat="1" applyFont="1" applyFill="1" applyBorder="1" applyAlignment="1">
      <alignment horizontal="right" vertical="center" wrapText="1"/>
    </xf>
    <xf numFmtId="165" fontId="35" fillId="6" borderId="38" xfId="0" applyNumberFormat="1" applyFont="1" applyFill="1" applyBorder="1" applyAlignment="1">
      <alignment horizontal="right" vertical="center" wrapText="1"/>
    </xf>
    <xf numFmtId="165" fontId="35" fillId="6" borderId="1" xfId="0" applyNumberFormat="1" applyFont="1" applyFill="1" applyBorder="1" applyAlignment="1">
      <alignment horizontal="right" vertical="center" wrapText="1"/>
    </xf>
    <xf numFmtId="0" fontId="33" fillId="4" borderId="38" xfId="0" applyFont="1" applyFill="1" applyBorder="1" applyAlignment="1">
      <alignment horizontal="center" vertical="center" wrapText="1"/>
    </xf>
    <xf numFmtId="0" fontId="40" fillId="0" borderId="48" xfId="0" applyFont="1" applyBorder="1" applyAlignment="1">
      <alignment horizontal="center" wrapText="1"/>
    </xf>
    <xf numFmtId="0" fontId="40" fillId="0" borderId="38" xfId="0" applyFont="1" applyBorder="1" applyAlignment="1">
      <alignment horizontal="center" wrapText="1"/>
    </xf>
    <xf numFmtId="0" fontId="40" fillId="0" borderId="46" xfId="0" applyFont="1" applyBorder="1" applyAlignment="1">
      <alignment horizontal="center" wrapText="1"/>
    </xf>
    <xf numFmtId="0" fontId="39" fillId="6" borderId="37" xfId="0" applyFont="1" applyFill="1" applyBorder="1" applyAlignment="1">
      <alignment horizontal="right" vertical="center" wrapText="1"/>
    </xf>
    <xf numFmtId="0" fontId="39" fillId="6" borderId="38" xfId="0" applyFont="1" applyFill="1" applyBorder="1" applyAlignment="1">
      <alignment horizontal="right" vertical="center" wrapText="1"/>
    </xf>
    <xf numFmtId="0" fontId="39" fillId="6" borderId="1" xfId="0" applyFont="1" applyFill="1" applyBorder="1" applyAlignment="1">
      <alignment horizontal="right" vertical="center" wrapText="1"/>
    </xf>
    <xf numFmtId="0" fontId="10" fillId="6" borderId="37" xfId="0" applyFont="1" applyFill="1" applyBorder="1" applyAlignment="1">
      <alignment horizontal="right" vertical="center"/>
    </xf>
    <xf numFmtId="0" fontId="10" fillId="6" borderId="38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165" fontId="35" fillId="6" borderId="37" xfId="0" applyNumberFormat="1" applyFont="1" applyFill="1" applyBorder="1" applyAlignment="1">
      <alignment horizontal="center" vertical="center"/>
    </xf>
    <xf numFmtId="165" fontId="35" fillId="6" borderId="38" xfId="0" applyNumberFormat="1" applyFont="1" applyFill="1" applyBorder="1" applyAlignment="1">
      <alignment horizontal="center" vertical="center"/>
    </xf>
    <xf numFmtId="165" fontId="35" fillId="6" borderId="1" xfId="0" applyNumberFormat="1" applyFont="1" applyFill="1" applyBorder="1" applyAlignment="1">
      <alignment horizontal="center" vertical="center"/>
    </xf>
    <xf numFmtId="3" fontId="30" fillId="6" borderId="2" xfId="0" applyNumberFormat="1" applyFont="1" applyFill="1" applyBorder="1" applyAlignment="1">
      <alignment horizontal="center"/>
    </xf>
    <xf numFmtId="4" fontId="35" fillId="6" borderId="37" xfId="0" applyNumberFormat="1" applyFont="1" applyFill="1" applyBorder="1" applyAlignment="1">
      <alignment horizontal="right" vertical="center"/>
    </xf>
    <xf numFmtId="4" fontId="35" fillId="6" borderId="38" xfId="0" applyNumberFormat="1" applyFont="1" applyFill="1" applyBorder="1" applyAlignment="1">
      <alignment horizontal="right" vertical="center"/>
    </xf>
    <xf numFmtId="3" fontId="39" fillId="5" borderId="43" xfId="0" applyNumberFormat="1" applyFont="1" applyFill="1" applyBorder="1" applyAlignment="1">
      <alignment horizontal="center"/>
    </xf>
    <xf numFmtId="0" fontId="39" fillId="6" borderId="1" xfId="2" applyFont="1" applyFill="1" applyBorder="1" applyAlignment="1">
      <alignment horizontal="center" wrapText="1"/>
    </xf>
    <xf numFmtId="0" fontId="39" fillId="6" borderId="2" xfId="2" applyFont="1" applyFill="1" applyBorder="1" applyAlignment="1">
      <alignment horizontal="center" wrapText="1"/>
    </xf>
    <xf numFmtId="0" fontId="39" fillId="6" borderId="2" xfId="0" applyFont="1" applyFill="1" applyBorder="1" applyAlignment="1">
      <alignment horizontal="center"/>
    </xf>
    <xf numFmtId="0" fontId="39" fillId="6" borderId="33" xfId="0" applyFont="1" applyFill="1" applyBorder="1" applyAlignment="1">
      <alignment horizontal="center"/>
    </xf>
    <xf numFmtId="0" fontId="30" fillId="0" borderId="37" xfId="0" applyFont="1" applyBorder="1" applyAlignment="1">
      <alignment horizontal="center" wrapText="1"/>
    </xf>
    <xf numFmtId="0" fontId="30" fillId="0" borderId="38" xfId="0" applyFont="1" applyBorder="1" applyAlignment="1">
      <alignment horizontal="center" wrapText="1"/>
    </xf>
    <xf numFmtId="0" fontId="30" fillId="0" borderId="1" xfId="0" applyFont="1" applyBorder="1" applyAlignment="1">
      <alignment horizontal="center" wrapText="1"/>
    </xf>
    <xf numFmtId="0" fontId="35" fillId="0" borderId="48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35" fillId="0" borderId="46" xfId="0" applyFont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9" fillId="0" borderId="46" xfId="0" applyFont="1" applyBorder="1" applyAlignment="1">
      <alignment horizont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4" borderId="37" xfId="1" applyFont="1" applyFill="1" applyBorder="1" applyAlignment="1">
      <alignment horizontal="center" vertical="center"/>
    </xf>
    <xf numFmtId="0" fontId="40" fillId="0" borderId="48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40" fillId="0" borderId="46" xfId="0" applyFont="1" applyBorder="1" applyAlignment="1">
      <alignment horizontal="center" vertical="center"/>
    </xf>
    <xf numFmtId="165" fontId="39" fillId="6" borderId="37" xfId="0" applyNumberFormat="1" applyFont="1" applyFill="1" applyBorder="1" applyAlignment="1">
      <alignment horizontal="right" vertical="center"/>
    </xf>
    <xf numFmtId="165" fontId="39" fillId="6" borderId="38" xfId="0" applyNumberFormat="1" applyFont="1" applyFill="1" applyBorder="1" applyAlignment="1">
      <alignment horizontal="right" vertical="center"/>
    </xf>
    <xf numFmtId="165" fontId="39" fillId="6" borderId="1" xfId="0" applyNumberFormat="1" applyFont="1" applyFill="1" applyBorder="1" applyAlignment="1">
      <alignment horizontal="right" vertical="center"/>
    </xf>
    <xf numFmtId="0" fontId="35" fillId="6" borderId="2" xfId="0" applyFont="1" applyFill="1" applyBorder="1" applyAlignment="1">
      <alignment horizontal="right" vertical="center"/>
    </xf>
    <xf numFmtId="0" fontId="35" fillId="6" borderId="2" xfId="0" applyFont="1" applyFill="1" applyBorder="1" applyAlignment="1">
      <alignment horizontal="right" vertical="center" wrapText="1"/>
    </xf>
    <xf numFmtId="0" fontId="39" fillId="4" borderId="2" xfId="0" applyFont="1" applyFill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34" fillId="4" borderId="38" xfId="1" applyFont="1" applyFill="1" applyBorder="1" applyAlignment="1">
      <alignment horizontal="center" vertical="center"/>
    </xf>
    <xf numFmtId="0" fontId="34" fillId="4" borderId="1" xfId="1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wrapText="1"/>
    </xf>
    <xf numFmtId="0" fontId="30" fillId="0" borderId="2" xfId="0" applyFont="1" applyBorder="1" applyAlignment="1">
      <alignment horizontal="center" wrapText="1"/>
    </xf>
    <xf numFmtId="0" fontId="30" fillId="0" borderId="33" xfId="0" applyFont="1" applyBorder="1" applyAlignment="1">
      <alignment horizontal="center" wrapText="1"/>
    </xf>
    <xf numFmtId="165" fontId="30" fillId="0" borderId="48" xfId="0" applyNumberFormat="1" applyFont="1" applyBorder="1" applyAlignment="1">
      <alignment horizontal="right" vertical="center"/>
    </xf>
    <xf numFmtId="0" fontId="30" fillId="0" borderId="46" xfId="0" applyFont="1" applyBorder="1" applyAlignment="1">
      <alignment horizontal="right" vertical="center"/>
    </xf>
    <xf numFmtId="0" fontId="41" fillId="0" borderId="37" xfId="0" applyFont="1" applyBorder="1" applyAlignment="1">
      <alignment horizontal="right" vertical="center" wrapText="1"/>
    </xf>
    <xf numFmtId="0" fontId="41" fillId="0" borderId="38" xfId="0" applyFont="1" applyBorder="1" applyAlignment="1">
      <alignment horizontal="right" vertical="center" wrapText="1"/>
    </xf>
    <xf numFmtId="0" fontId="41" fillId="0" borderId="1" xfId="0" applyFont="1" applyBorder="1" applyAlignment="1">
      <alignment horizontal="right" vertical="center" wrapText="1"/>
    </xf>
    <xf numFmtId="0" fontId="30" fillId="0" borderId="48" xfId="0" applyFont="1" applyBorder="1" applyAlignment="1">
      <alignment vertical="center" wrapText="1"/>
    </xf>
    <xf numFmtId="0" fontId="30" fillId="0" borderId="38" xfId="0" applyFont="1" applyBorder="1" applyAlignment="1">
      <alignment vertical="center"/>
    </xf>
    <xf numFmtId="0" fontId="30" fillId="0" borderId="46" xfId="0" applyFont="1" applyBorder="1" applyAlignment="1">
      <alignment vertical="center"/>
    </xf>
    <xf numFmtId="0" fontId="30" fillId="6" borderId="37" xfId="0" applyFont="1" applyFill="1" applyBorder="1" applyAlignment="1">
      <alignment horizontal="right" vertical="center"/>
    </xf>
    <xf numFmtId="0" fontId="30" fillId="6" borderId="38" xfId="0" applyFont="1" applyFill="1" applyBorder="1" applyAlignment="1">
      <alignment horizontal="right" vertical="center"/>
    </xf>
    <xf numFmtId="0" fontId="30" fillId="6" borderId="1" xfId="0" applyFont="1" applyFill="1" applyBorder="1" applyAlignment="1">
      <alignment horizontal="right" vertical="center"/>
    </xf>
    <xf numFmtId="165" fontId="32" fillId="6" borderId="37" xfId="0" applyNumberFormat="1" applyFont="1" applyFill="1" applyBorder="1" applyAlignment="1">
      <alignment horizontal="right" vertical="center" wrapText="1"/>
    </xf>
    <xf numFmtId="165" fontId="32" fillId="6" borderId="38" xfId="0" applyNumberFormat="1" applyFont="1" applyFill="1" applyBorder="1" applyAlignment="1">
      <alignment horizontal="right" vertical="center" wrapText="1"/>
    </xf>
    <xf numFmtId="165" fontId="32" fillId="6" borderId="1" xfId="0" applyNumberFormat="1" applyFont="1" applyFill="1" applyBorder="1" applyAlignment="1">
      <alignment horizontal="right" vertical="center" wrapText="1"/>
    </xf>
    <xf numFmtId="0" fontId="35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30" fillId="0" borderId="65" xfId="0" applyFont="1" applyBorder="1" applyAlignment="1">
      <alignment horizontal="center" vertical="center"/>
    </xf>
    <xf numFmtId="4" fontId="35" fillId="6" borderId="47" xfId="0" applyNumberFormat="1" applyFont="1" applyFill="1" applyBorder="1" applyAlignment="1">
      <alignment horizontal="center" vertical="center" wrapText="1"/>
    </xf>
    <xf numFmtId="4" fontId="35" fillId="6" borderId="49" xfId="0" applyNumberFormat="1" applyFont="1" applyFill="1" applyBorder="1" applyAlignment="1">
      <alignment horizontal="center" vertical="center" wrapText="1"/>
    </xf>
    <xf numFmtId="0" fontId="33" fillId="0" borderId="62" xfId="0" applyFont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wrapText="1"/>
    </xf>
    <xf numFmtId="4" fontId="35" fillId="6" borderId="51" xfId="0" applyNumberFormat="1" applyFont="1" applyFill="1" applyBorder="1" applyAlignment="1">
      <alignment horizontal="right" vertical="center"/>
    </xf>
    <xf numFmtId="4" fontId="35" fillId="6" borderId="52" xfId="0" applyNumberFormat="1" applyFont="1" applyFill="1" applyBorder="1" applyAlignment="1">
      <alignment horizontal="right" vertical="center"/>
    </xf>
    <xf numFmtId="0" fontId="41" fillId="4" borderId="2" xfId="0" applyFont="1" applyFill="1" applyBorder="1" applyAlignment="1">
      <alignment horizontal="center" vertical="center" wrapText="1"/>
    </xf>
    <xf numFmtId="4" fontId="39" fillId="6" borderId="37" xfId="0" applyNumberFormat="1" applyFont="1" applyFill="1" applyBorder="1" applyAlignment="1">
      <alignment horizontal="right" vertical="center"/>
    </xf>
    <xf numFmtId="4" fontId="39" fillId="6" borderId="38" xfId="0" applyNumberFormat="1" applyFont="1" applyFill="1" applyBorder="1" applyAlignment="1">
      <alignment horizontal="right" vertical="center"/>
    </xf>
    <xf numFmtId="0" fontId="30" fillId="0" borderId="1" xfId="0" applyFont="1" applyBorder="1" applyAlignment="1">
      <alignment horizontal="right" vertical="center"/>
    </xf>
    <xf numFmtId="165" fontId="39" fillId="6" borderId="37" xfId="0" applyNumberFormat="1" applyFont="1" applyFill="1" applyBorder="1" applyAlignment="1">
      <alignment horizontal="center" vertical="center"/>
    </xf>
    <xf numFmtId="165" fontId="39" fillId="6" borderId="38" xfId="0" applyNumberFormat="1" applyFont="1" applyFill="1" applyBorder="1" applyAlignment="1">
      <alignment horizontal="center" vertical="center"/>
    </xf>
    <xf numFmtId="165" fontId="39" fillId="6" borderId="1" xfId="0" applyNumberFormat="1" applyFont="1" applyFill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25" fillId="0" borderId="35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36" xfId="0" applyFont="1" applyBorder="1" applyAlignment="1">
      <alignment horizontal="center"/>
    </xf>
    <xf numFmtId="0" fontId="26" fillId="0" borderId="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</cellXfs>
  <cellStyles count="4">
    <cellStyle name="Comma" xfId="3" builtinId="3"/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colors>
    <mruColors>
      <color rgb="FF16649C"/>
      <color rgb="FF0C94F5"/>
      <color rgb="FF0A54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65"/>
  <sheetViews>
    <sheetView zoomScaleNormal="100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B7" sqref="B7:B10"/>
    </sheetView>
  </sheetViews>
  <sheetFormatPr defaultColWidth="9" defaultRowHeight="13.8"/>
  <cols>
    <col min="1" max="1" width="7.41796875" style="189" customWidth="1"/>
    <col min="2" max="2" width="41.89453125" style="648" customWidth="1"/>
    <col min="3" max="3" width="25.3125" style="648" customWidth="1"/>
    <col min="4" max="4" width="33" style="649" customWidth="1"/>
    <col min="5" max="5" width="26" style="650" customWidth="1"/>
    <col min="6" max="9" width="11.41796875" style="650" customWidth="1"/>
    <col min="10" max="10" width="88.68359375" style="189" bestFit="1" customWidth="1"/>
    <col min="11" max="11" width="14.89453125" style="642" bestFit="1" customWidth="1"/>
    <col min="12" max="12" width="20" style="189" customWidth="1"/>
    <col min="13" max="13" width="16" style="189" bestFit="1" customWidth="1"/>
    <col min="14" max="14" width="18.1015625" style="189" customWidth="1"/>
    <col min="15" max="15" width="20" style="189" customWidth="1"/>
    <col min="16" max="16" width="21.3125" style="189" customWidth="1"/>
    <col min="17" max="17" width="20.3125" style="189" customWidth="1"/>
    <col min="18" max="18" width="16.41796875" style="189" customWidth="1"/>
    <col min="19" max="19" width="16" style="189" bestFit="1" customWidth="1"/>
    <col min="20" max="20" width="14" style="189" customWidth="1"/>
    <col min="21" max="21" width="14.89453125" style="189" customWidth="1"/>
    <col min="22" max="22" width="18" style="189" customWidth="1"/>
    <col min="23" max="23" width="15.41796875" style="189" customWidth="1"/>
    <col min="24" max="24" width="13.41796875" style="189" customWidth="1"/>
    <col min="25" max="25" width="20.3125" style="189" customWidth="1"/>
    <col min="26" max="26" width="24" style="189" customWidth="1"/>
    <col min="27" max="27" width="14.89453125" style="189" bestFit="1" customWidth="1"/>
    <col min="28" max="28" width="22.89453125" style="189" customWidth="1"/>
    <col min="29" max="29" width="16" style="189" bestFit="1" customWidth="1"/>
    <col min="30" max="30" width="17.1015625" style="189" customWidth="1"/>
    <col min="31" max="31" width="17" style="189" customWidth="1"/>
    <col min="32" max="32" width="18" style="189" customWidth="1"/>
    <col min="33" max="33" width="14.89453125" style="189" bestFit="1" customWidth="1"/>
    <col min="34" max="34" width="23.1015625" style="189" customWidth="1"/>
    <col min="35" max="35" width="15.3125" style="189" customWidth="1"/>
    <col min="36" max="36" width="15.89453125" style="189" customWidth="1"/>
    <col min="37" max="37" width="14.89453125" style="189" bestFit="1" customWidth="1"/>
    <col min="38" max="38" width="16.89453125" style="189" customWidth="1"/>
    <col min="39" max="39" width="13.41796875" style="189" bestFit="1" customWidth="1"/>
    <col min="40" max="40" width="11.1015625" style="189" customWidth="1"/>
    <col min="41" max="41" width="13.41796875" style="189" bestFit="1" customWidth="1"/>
    <col min="42" max="42" width="9" style="189"/>
    <col min="43" max="43" width="13.41796875" style="189" bestFit="1" customWidth="1"/>
    <col min="44" max="44" width="9" style="189"/>
    <col min="45" max="45" width="13.41796875" style="189" customWidth="1"/>
    <col min="46" max="46" width="9" style="189"/>
    <col min="47" max="47" width="16.41796875" style="189" customWidth="1"/>
    <col min="48" max="48" width="16.1015625" style="189" customWidth="1"/>
    <col min="49" max="49" width="18.5234375" style="189" customWidth="1"/>
    <col min="50" max="50" width="17" style="189" customWidth="1"/>
    <col min="51" max="51" width="11.5234375" style="189" bestFit="1" customWidth="1"/>
    <col min="52" max="52" width="12.41796875" style="189" customWidth="1"/>
    <col min="53" max="54" width="9" style="189"/>
    <col min="55" max="55" width="10.5234375" style="189" bestFit="1" customWidth="1"/>
    <col min="56" max="16384" width="9" style="189"/>
  </cols>
  <sheetData>
    <row r="1" spans="1:51" ht="14.1">
      <c r="A1" s="184" t="s">
        <v>0</v>
      </c>
      <c r="B1" s="185" t="s">
        <v>1</v>
      </c>
      <c r="C1" s="185"/>
      <c r="D1" s="1045"/>
      <c r="E1" s="1045"/>
      <c r="F1" s="1045"/>
      <c r="G1" s="1045"/>
      <c r="H1" s="1045"/>
      <c r="I1" s="1045"/>
      <c r="J1" s="1045"/>
      <c r="K1" s="1045">
        <v>46082</v>
      </c>
      <c r="L1" s="1045"/>
      <c r="M1" s="1045">
        <v>46113</v>
      </c>
      <c r="N1" s="1045"/>
      <c r="O1" s="1045">
        <v>46143</v>
      </c>
      <c r="P1" s="1045"/>
      <c r="Q1" s="1045">
        <v>46174</v>
      </c>
      <c r="R1" s="1045"/>
      <c r="S1" s="1045">
        <v>46204</v>
      </c>
      <c r="T1" s="1045"/>
      <c r="U1" s="1045">
        <v>46235</v>
      </c>
      <c r="V1" s="1045"/>
      <c r="W1" s="1045">
        <v>46266</v>
      </c>
      <c r="X1" s="1045"/>
      <c r="Y1" s="1045">
        <v>46296</v>
      </c>
      <c r="Z1" s="1045"/>
      <c r="AA1" s="1045">
        <v>46327</v>
      </c>
      <c r="AB1" s="1045"/>
      <c r="AC1" s="1045">
        <v>46357</v>
      </c>
      <c r="AD1" s="1045"/>
      <c r="AE1" s="1045">
        <v>46388</v>
      </c>
      <c r="AF1" s="1045"/>
      <c r="AG1" s="1045">
        <v>46419</v>
      </c>
      <c r="AH1" s="1045"/>
      <c r="AI1" s="1045">
        <v>46447</v>
      </c>
      <c r="AJ1" s="1045"/>
      <c r="AK1" s="1045">
        <v>46478</v>
      </c>
      <c r="AL1" s="1045"/>
      <c r="AM1" s="1045">
        <v>46508</v>
      </c>
      <c r="AN1" s="1045"/>
      <c r="AO1" s="1045">
        <v>46539</v>
      </c>
      <c r="AP1" s="1045"/>
      <c r="AQ1" s="1045">
        <v>46569</v>
      </c>
      <c r="AR1" s="1045"/>
      <c r="AS1" s="186">
        <v>46600</v>
      </c>
      <c r="AT1" s="187"/>
      <c r="AU1" s="1077" t="s">
        <v>2</v>
      </c>
      <c r="AV1" s="1078"/>
      <c r="AW1" s="1079"/>
      <c r="AX1" s="188"/>
    </row>
    <row r="2" spans="1:51" ht="14.4" thickBot="1">
      <c r="A2" s="190" t="s">
        <v>3</v>
      </c>
      <c r="B2" s="191" t="s">
        <v>4</v>
      </c>
      <c r="C2" s="191" t="s">
        <v>5</v>
      </c>
      <c r="D2" s="192" t="s">
        <v>6</v>
      </c>
      <c r="E2" s="190" t="s">
        <v>7</v>
      </c>
      <c r="F2" s="190" t="s">
        <v>8</v>
      </c>
      <c r="G2" s="190" t="s">
        <v>9</v>
      </c>
      <c r="H2" s="190" t="s">
        <v>10</v>
      </c>
      <c r="I2" s="190" t="s">
        <v>11</v>
      </c>
      <c r="J2" s="193" t="s">
        <v>12</v>
      </c>
      <c r="K2" s="1136"/>
      <c r="L2" s="1136"/>
      <c r="M2" s="1136"/>
      <c r="N2" s="1136"/>
      <c r="O2" s="190" t="s">
        <v>13</v>
      </c>
      <c r="P2" s="190" t="s">
        <v>12</v>
      </c>
      <c r="Q2" s="190" t="s">
        <v>13</v>
      </c>
      <c r="R2" s="190" t="s">
        <v>12</v>
      </c>
      <c r="S2" s="194" t="s">
        <v>13</v>
      </c>
      <c r="T2" s="194" t="s">
        <v>12</v>
      </c>
      <c r="U2" s="194" t="s">
        <v>13</v>
      </c>
      <c r="V2" s="194" t="s">
        <v>12</v>
      </c>
      <c r="W2" s="194" t="s">
        <v>13</v>
      </c>
      <c r="X2" s="194" t="s">
        <v>12</v>
      </c>
      <c r="Y2" s="194" t="s">
        <v>13</v>
      </c>
      <c r="Z2" s="194" t="s">
        <v>12</v>
      </c>
      <c r="AA2" s="194" t="s">
        <v>13</v>
      </c>
      <c r="AB2" s="194" t="s">
        <v>12</v>
      </c>
      <c r="AC2" s="194" t="s">
        <v>13</v>
      </c>
      <c r="AD2" s="194" t="s">
        <v>12</v>
      </c>
      <c r="AE2" s="194" t="s">
        <v>13</v>
      </c>
      <c r="AF2" s="194" t="s">
        <v>12</v>
      </c>
      <c r="AG2" s="194" t="s">
        <v>13</v>
      </c>
      <c r="AH2" s="194" t="s">
        <v>12</v>
      </c>
      <c r="AI2" s="194" t="s">
        <v>13</v>
      </c>
      <c r="AJ2" s="194" t="s">
        <v>12</v>
      </c>
      <c r="AK2" s="194" t="s">
        <v>13</v>
      </c>
      <c r="AL2" s="194" t="s">
        <v>12</v>
      </c>
      <c r="AM2" s="194" t="s">
        <v>13</v>
      </c>
      <c r="AN2" s="194" t="s">
        <v>12</v>
      </c>
      <c r="AO2" s="194" t="s">
        <v>13</v>
      </c>
      <c r="AP2" s="194" t="s">
        <v>12</v>
      </c>
      <c r="AQ2" s="194" t="s">
        <v>13</v>
      </c>
      <c r="AR2" s="194" t="s">
        <v>12</v>
      </c>
      <c r="AS2" s="194" t="s">
        <v>13</v>
      </c>
      <c r="AT2" s="195" t="s">
        <v>12</v>
      </c>
      <c r="AU2" s="197" t="s">
        <v>15</v>
      </c>
      <c r="AV2" s="197" t="s">
        <v>16</v>
      </c>
      <c r="AW2" s="197" t="s">
        <v>17</v>
      </c>
      <c r="AX2" s="198" t="s">
        <v>18</v>
      </c>
    </row>
    <row r="3" spans="1:51">
      <c r="A3" s="1195">
        <v>1</v>
      </c>
      <c r="B3" s="1116" t="s">
        <v>19</v>
      </c>
      <c r="C3" s="1170" t="s">
        <v>20</v>
      </c>
      <c r="D3" s="1204">
        <v>1091850</v>
      </c>
      <c r="E3" s="1133" t="s">
        <v>751</v>
      </c>
      <c r="F3" s="1138" t="s">
        <v>21</v>
      </c>
      <c r="G3" s="1138" t="s">
        <v>22</v>
      </c>
      <c r="H3" s="199" t="s">
        <v>23</v>
      </c>
      <c r="I3" s="200" t="s">
        <v>24</v>
      </c>
      <c r="J3" s="201" t="s">
        <v>746</v>
      </c>
      <c r="K3" s="789"/>
      <c r="L3" s="1057"/>
      <c r="M3" s="790"/>
      <c r="N3" s="1060"/>
      <c r="O3" s="791"/>
      <c r="P3" s="792"/>
      <c r="Q3" s="791"/>
      <c r="R3" s="792"/>
      <c r="S3" s="791"/>
      <c r="T3" s="792"/>
      <c r="U3" s="791"/>
      <c r="V3" s="443"/>
      <c r="W3" s="791"/>
      <c r="X3" s="443"/>
      <c r="Y3" s="791"/>
      <c r="Z3" s="443"/>
      <c r="AA3" s="791"/>
      <c r="AB3" s="443"/>
      <c r="AC3" s="791"/>
      <c r="AD3" s="443"/>
      <c r="AE3" s="791"/>
      <c r="AF3" s="443"/>
      <c r="AG3" s="791"/>
      <c r="AH3" s="443"/>
      <c r="AI3" s="791"/>
      <c r="AJ3" s="443"/>
      <c r="AK3" s="791"/>
      <c r="AL3" s="443"/>
      <c r="AM3" s="793"/>
      <c r="AN3" s="443"/>
      <c r="AO3" s="793"/>
      <c r="AP3" s="443"/>
      <c r="AQ3" s="793"/>
      <c r="AR3" s="443"/>
      <c r="AS3" s="793"/>
      <c r="AT3" s="443"/>
      <c r="AU3" s="1068"/>
      <c r="AV3" s="794"/>
      <c r="AW3" s="795"/>
      <c r="AX3" s="796"/>
      <c r="AY3" s="419"/>
    </row>
    <row r="4" spans="1:51" ht="14.1">
      <c r="A4" s="1196"/>
      <c r="B4" s="1117"/>
      <c r="C4" s="1171"/>
      <c r="D4" s="1185"/>
      <c r="E4" s="1134"/>
      <c r="F4" s="1139"/>
      <c r="G4" s="1139"/>
      <c r="H4" s="210" t="s">
        <v>25</v>
      </c>
      <c r="I4" s="211" t="s">
        <v>26</v>
      </c>
      <c r="J4" s="212"/>
      <c r="K4" s="797"/>
      <c r="L4" s="1059"/>
      <c r="M4" s="798"/>
      <c r="N4" s="1059"/>
      <c r="O4" s="799"/>
      <c r="P4" s="800"/>
      <c r="Q4" s="799"/>
      <c r="R4" s="800"/>
      <c r="S4" s="799"/>
      <c r="T4" s="800"/>
      <c r="U4" s="799"/>
      <c r="V4" s="397"/>
      <c r="W4" s="799"/>
      <c r="X4" s="397"/>
      <c r="Y4" s="799"/>
      <c r="Z4" s="397"/>
      <c r="AA4" s="799"/>
      <c r="AB4" s="397"/>
      <c r="AC4" s="799"/>
      <c r="AD4" s="397"/>
      <c r="AE4" s="799"/>
      <c r="AF4" s="397"/>
      <c r="AG4" s="799"/>
      <c r="AH4" s="397"/>
      <c r="AI4" s="799"/>
      <c r="AJ4" s="397"/>
      <c r="AK4" s="799"/>
      <c r="AL4" s="397"/>
      <c r="AM4" s="801"/>
      <c r="AN4" s="397"/>
      <c r="AO4" s="801"/>
      <c r="AP4" s="397"/>
      <c r="AQ4" s="801"/>
      <c r="AR4" s="397"/>
      <c r="AS4" s="801"/>
      <c r="AT4" s="397"/>
      <c r="AU4" s="1069"/>
      <c r="AV4" s="802"/>
      <c r="AW4" s="803"/>
      <c r="AX4" s="804"/>
      <c r="AY4" s="419"/>
    </row>
    <row r="5" spans="1:51">
      <c r="A5" s="1196"/>
      <c r="B5" s="1117"/>
      <c r="C5" s="1171"/>
      <c r="D5" s="1185"/>
      <c r="E5" s="1134"/>
      <c r="F5" s="1139"/>
      <c r="G5" s="1139"/>
      <c r="H5" s="210" t="s">
        <v>27</v>
      </c>
      <c r="I5" s="211" t="s">
        <v>28</v>
      </c>
      <c r="J5" s="212" t="s">
        <v>29</v>
      </c>
      <c r="K5" s="797"/>
      <c r="L5" s="1059"/>
      <c r="M5" s="798"/>
      <c r="N5" s="1059"/>
      <c r="O5" s="799"/>
      <c r="P5" s="805"/>
      <c r="Q5" s="799"/>
      <c r="R5" s="805"/>
      <c r="S5" s="799"/>
      <c r="T5" s="805"/>
      <c r="U5" s="799"/>
      <c r="V5" s="397"/>
      <c r="W5" s="799"/>
      <c r="X5" s="397"/>
      <c r="Y5" s="799"/>
      <c r="Z5" s="397"/>
      <c r="AA5" s="799"/>
      <c r="AB5" s="397"/>
      <c r="AC5" s="799"/>
      <c r="AD5" s="397"/>
      <c r="AE5" s="799"/>
      <c r="AF5" s="397"/>
      <c r="AG5" s="799"/>
      <c r="AH5" s="397"/>
      <c r="AI5" s="799"/>
      <c r="AJ5" s="397"/>
      <c r="AK5" s="799"/>
      <c r="AL5" s="397"/>
      <c r="AM5" s="801"/>
      <c r="AN5" s="397"/>
      <c r="AO5" s="801"/>
      <c r="AP5" s="397"/>
      <c r="AQ5" s="801"/>
      <c r="AR5" s="397"/>
      <c r="AS5" s="801"/>
      <c r="AT5" s="397"/>
      <c r="AU5" s="1069"/>
      <c r="AV5" s="802"/>
      <c r="AW5" s="803"/>
      <c r="AX5" s="806"/>
      <c r="AY5" s="419"/>
    </row>
    <row r="6" spans="1:51" ht="14.1" thickBot="1">
      <c r="A6" s="1197"/>
      <c r="B6" s="1117"/>
      <c r="C6" s="1171"/>
      <c r="D6" s="1186"/>
      <c r="E6" s="1203"/>
      <c r="F6" s="1139"/>
      <c r="G6" s="1139"/>
      <c r="H6" s="210" t="s">
        <v>30</v>
      </c>
      <c r="I6" s="223" t="s">
        <v>31</v>
      </c>
      <c r="J6" s="224" t="s">
        <v>32</v>
      </c>
      <c r="K6" s="807"/>
      <c r="L6" s="1059"/>
      <c r="M6" s="808"/>
      <c r="N6" s="1059"/>
      <c r="O6" s="809"/>
      <c r="P6" s="810"/>
      <c r="Q6" s="809"/>
      <c r="R6" s="810"/>
      <c r="S6" s="809"/>
      <c r="T6" s="810"/>
      <c r="U6" s="809"/>
      <c r="V6" s="434"/>
      <c r="W6" s="809"/>
      <c r="X6" s="434"/>
      <c r="Y6" s="809"/>
      <c r="Z6" s="434"/>
      <c r="AA6" s="809"/>
      <c r="AB6" s="434"/>
      <c r="AC6" s="809"/>
      <c r="AD6" s="434"/>
      <c r="AE6" s="809"/>
      <c r="AF6" s="434"/>
      <c r="AG6" s="809"/>
      <c r="AH6" s="434"/>
      <c r="AI6" s="809"/>
      <c r="AJ6" s="434"/>
      <c r="AK6" s="809"/>
      <c r="AL6" s="434"/>
      <c r="AM6" s="801"/>
      <c r="AN6" s="434"/>
      <c r="AO6" s="801"/>
      <c r="AP6" s="434"/>
      <c r="AQ6" s="801"/>
      <c r="AR6" s="434"/>
      <c r="AS6" s="801"/>
      <c r="AT6" s="434"/>
      <c r="AU6" s="1069"/>
      <c r="AV6" s="802"/>
      <c r="AW6" s="811"/>
      <c r="AX6" s="806"/>
      <c r="AY6" s="419"/>
    </row>
    <row r="7" spans="1:51">
      <c r="A7" s="1198">
        <f>A3+1</f>
        <v>2</v>
      </c>
      <c r="B7" s="1164" t="s">
        <v>692</v>
      </c>
      <c r="C7" s="1085" t="s">
        <v>33</v>
      </c>
      <c r="D7" s="1200">
        <v>0</v>
      </c>
      <c r="E7" s="1202" t="s">
        <v>34</v>
      </c>
      <c r="F7" s="1138" t="s">
        <v>21</v>
      </c>
      <c r="G7" s="1138" t="s">
        <v>22</v>
      </c>
      <c r="H7" s="199" t="s">
        <v>23</v>
      </c>
      <c r="I7" s="231" t="s">
        <v>24</v>
      </c>
      <c r="J7" s="201" t="s">
        <v>35</v>
      </c>
      <c r="K7" s="812"/>
      <c r="L7" s="813"/>
      <c r="M7" s="814"/>
      <c r="N7" s="529"/>
      <c r="O7" s="815"/>
      <c r="P7" s="1057"/>
      <c r="Q7" s="237"/>
      <c r="R7" s="792"/>
      <c r="S7" s="816"/>
      <c r="T7" s="792"/>
      <c r="U7" s="237"/>
      <c r="V7" s="443"/>
      <c r="W7" s="816"/>
      <c r="X7" s="443"/>
      <c r="Y7" s="817"/>
      <c r="Z7" s="1057"/>
      <c r="AA7" s="443"/>
      <c r="AB7" s="443"/>
      <c r="AC7" s="237"/>
      <c r="AD7" s="443"/>
      <c r="AE7" s="237"/>
      <c r="AF7" s="443"/>
      <c r="AG7" s="237"/>
      <c r="AH7" s="443"/>
      <c r="AI7" s="237"/>
      <c r="AJ7" s="443"/>
      <c r="AK7" s="237"/>
      <c r="AL7" s="443"/>
      <c r="AM7" s="816"/>
      <c r="AN7" s="443"/>
      <c r="AO7" s="816"/>
      <c r="AP7" s="443"/>
      <c r="AQ7" s="816"/>
      <c r="AR7" s="443"/>
      <c r="AS7" s="816"/>
      <c r="AT7" s="443"/>
      <c r="AU7" s="1068"/>
      <c r="AV7" s="818"/>
      <c r="AW7" s="795"/>
      <c r="AX7" s="796"/>
      <c r="AY7" s="419"/>
    </row>
    <row r="8" spans="1:51" ht="14.1">
      <c r="A8" s="1177"/>
      <c r="B8" s="1165"/>
      <c r="C8" s="1086"/>
      <c r="D8" s="1201"/>
      <c r="E8" s="1139"/>
      <c r="F8" s="1139"/>
      <c r="G8" s="1139"/>
      <c r="H8" s="210" t="s">
        <v>25</v>
      </c>
      <c r="I8" s="242" t="s">
        <v>26</v>
      </c>
      <c r="J8" s="224" t="s">
        <v>38</v>
      </c>
      <c r="K8" s="819"/>
      <c r="L8" s="820"/>
      <c r="M8" s="821"/>
      <c r="N8" s="786"/>
      <c r="O8" s="822"/>
      <c r="P8" s="1054"/>
      <c r="Q8" s="248"/>
      <c r="R8" s="805"/>
      <c r="S8" s="262"/>
      <c r="T8" s="805"/>
      <c r="U8" s="248"/>
      <c r="V8" s="397"/>
      <c r="W8" s="262"/>
      <c r="X8" s="397"/>
      <c r="Y8" s="823"/>
      <c r="Z8" s="1054"/>
      <c r="AA8" s="397"/>
      <c r="AB8" s="397"/>
      <c r="AC8" s="248"/>
      <c r="AD8" s="397"/>
      <c r="AE8" s="248"/>
      <c r="AF8" s="397"/>
      <c r="AG8" s="248"/>
      <c r="AH8" s="397"/>
      <c r="AI8" s="248"/>
      <c r="AJ8" s="397"/>
      <c r="AK8" s="248"/>
      <c r="AL8" s="397"/>
      <c r="AM8" s="824"/>
      <c r="AN8" s="397"/>
      <c r="AO8" s="824"/>
      <c r="AP8" s="397"/>
      <c r="AQ8" s="824"/>
      <c r="AR8" s="397"/>
      <c r="AS8" s="824"/>
      <c r="AT8" s="397"/>
      <c r="AU8" s="1069"/>
      <c r="AV8" s="825"/>
      <c r="AW8" s="825"/>
      <c r="AX8" s="826"/>
      <c r="AY8" s="419"/>
    </row>
    <row r="9" spans="1:51">
      <c r="A9" s="1177"/>
      <c r="B9" s="1165"/>
      <c r="C9" s="1086"/>
      <c r="D9" s="1201"/>
      <c r="E9" s="1139"/>
      <c r="F9" s="1139"/>
      <c r="G9" s="1139"/>
      <c r="H9" s="210" t="s">
        <v>27</v>
      </c>
      <c r="I9" s="211" t="s">
        <v>28</v>
      </c>
      <c r="J9" s="212" t="s">
        <v>39</v>
      </c>
      <c r="K9" s="819"/>
      <c r="L9" s="820"/>
      <c r="M9" s="821"/>
      <c r="N9" s="786"/>
      <c r="O9" s="822"/>
      <c r="P9" s="1054"/>
      <c r="Q9" s="248"/>
      <c r="R9" s="805"/>
      <c r="S9" s="262"/>
      <c r="T9" s="805"/>
      <c r="U9" s="248"/>
      <c r="V9" s="397"/>
      <c r="W9" s="262"/>
      <c r="X9" s="397"/>
      <c r="Y9" s="827"/>
      <c r="Z9" s="1054"/>
      <c r="AA9" s="397"/>
      <c r="AB9" s="397"/>
      <c r="AC9" s="248"/>
      <c r="AD9" s="397"/>
      <c r="AE9" s="248"/>
      <c r="AF9" s="397"/>
      <c r="AG9" s="248"/>
      <c r="AH9" s="397"/>
      <c r="AI9" s="248"/>
      <c r="AJ9" s="397"/>
      <c r="AK9" s="248"/>
      <c r="AL9" s="397"/>
      <c r="AM9" s="824"/>
      <c r="AN9" s="397"/>
      <c r="AO9" s="824"/>
      <c r="AP9" s="397"/>
      <c r="AQ9" s="824"/>
      <c r="AR9" s="397"/>
      <c r="AS9" s="824"/>
      <c r="AT9" s="397"/>
      <c r="AU9" s="1069"/>
      <c r="AV9" s="825"/>
      <c r="AW9" s="825"/>
      <c r="AX9" s="828"/>
      <c r="AY9" s="419"/>
    </row>
    <row r="10" spans="1:51" ht="14.1" thickBot="1">
      <c r="A10" s="1177"/>
      <c r="B10" s="1165"/>
      <c r="C10" s="1086"/>
      <c r="D10" s="1201"/>
      <c r="E10" s="1139"/>
      <c r="F10" s="1139"/>
      <c r="G10" s="1139"/>
      <c r="H10" s="210" t="s">
        <v>30</v>
      </c>
      <c r="I10" s="223" t="s">
        <v>31</v>
      </c>
      <c r="J10" s="257" t="s">
        <v>40</v>
      </c>
      <c r="K10" s="829"/>
      <c r="L10" s="782"/>
      <c r="M10" s="830"/>
      <c r="N10" s="787"/>
      <c r="O10" s="822"/>
      <c r="P10" s="1054"/>
      <c r="Q10" s="262"/>
      <c r="R10" s="810"/>
      <c r="S10" s="262"/>
      <c r="T10" s="810"/>
      <c r="U10" s="262"/>
      <c r="V10" s="434"/>
      <c r="W10" s="262"/>
      <c r="X10" s="434"/>
      <c r="Y10" s="827"/>
      <c r="Z10" s="1054"/>
      <c r="AA10" s="434"/>
      <c r="AB10" s="434"/>
      <c r="AC10" s="262"/>
      <c r="AD10" s="434"/>
      <c r="AE10" s="262"/>
      <c r="AF10" s="434"/>
      <c r="AG10" s="262"/>
      <c r="AH10" s="434"/>
      <c r="AI10" s="262"/>
      <c r="AJ10" s="434"/>
      <c r="AK10" s="262"/>
      <c r="AL10" s="434"/>
      <c r="AM10" s="824"/>
      <c r="AN10" s="434"/>
      <c r="AO10" s="824"/>
      <c r="AP10" s="434"/>
      <c r="AQ10" s="824"/>
      <c r="AR10" s="434"/>
      <c r="AS10" s="824"/>
      <c r="AT10" s="434"/>
      <c r="AU10" s="1069"/>
      <c r="AV10" s="825"/>
      <c r="AW10" s="825"/>
      <c r="AX10" s="828"/>
      <c r="AY10" s="419"/>
    </row>
    <row r="11" spans="1:51">
      <c r="A11" s="1198">
        <v>6</v>
      </c>
      <c r="B11" s="1154" t="s">
        <v>693</v>
      </c>
      <c r="C11" s="1087" t="s">
        <v>33</v>
      </c>
      <c r="D11" s="1200">
        <v>0</v>
      </c>
      <c r="E11" s="1138" t="s">
        <v>41</v>
      </c>
      <c r="F11" s="1138" t="s">
        <v>21</v>
      </c>
      <c r="G11" s="1138" t="s">
        <v>22</v>
      </c>
      <c r="H11" s="199" t="s">
        <v>23</v>
      </c>
      <c r="I11" s="200" t="s">
        <v>42</v>
      </c>
      <c r="J11" s="280" t="s">
        <v>45</v>
      </c>
      <c r="K11" s="831"/>
      <c r="L11" s="832"/>
      <c r="M11" s="833"/>
      <c r="N11" s="1150"/>
      <c r="O11" s="834"/>
      <c r="P11" s="1146"/>
      <c r="Q11" s="792"/>
      <c r="R11" s="835"/>
      <c r="S11" s="836"/>
      <c r="T11" s="783"/>
      <c r="U11" s="237"/>
      <c r="V11" s="443"/>
      <c r="W11" s="237"/>
      <c r="X11" s="783"/>
      <c r="Y11" s="836"/>
      <c r="Z11" s="783"/>
      <c r="AA11" s="237"/>
      <c r="AB11" s="443"/>
      <c r="AC11" s="237"/>
      <c r="AD11" s="443"/>
      <c r="AE11" s="237"/>
      <c r="AF11" s="443"/>
      <c r="AG11" s="237"/>
      <c r="AH11" s="443"/>
      <c r="AI11" s="237"/>
      <c r="AJ11" s="443"/>
      <c r="AK11" s="237"/>
      <c r="AL11" s="443"/>
      <c r="AM11" s="816"/>
      <c r="AN11" s="443"/>
      <c r="AO11" s="816"/>
      <c r="AP11" s="443"/>
      <c r="AQ11" s="816"/>
      <c r="AR11" s="443"/>
      <c r="AS11" s="816"/>
      <c r="AT11" s="443"/>
      <c r="AU11" s="1068"/>
      <c r="AV11" s="818"/>
      <c r="AW11" s="837"/>
      <c r="AX11" s="838"/>
      <c r="AY11" s="419"/>
    </row>
    <row r="12" spans="1:51" ht="14.1">
      <c r="A12" s="1177"/>
      <c r="B12" s="1155"/>
      <c r="C12" s="1088"/>
      <c r="D12" s="1201"/>
      <c r="E12" s="1139"/>
      <c r="F12" s="1139"/>
      <c r="G12" s="1139"/>
      <c r="H12" s="210" t="s">
        <v>25</v>
      </c>
      <c r="I12" s="211" t="s">
        <v>43</v>
      </c>
      <c r="J12" s="286" t="s">
        <v>44</v>
      </c>
      <c r="K12" s="839"/>
      <c r="L12" s="840"/>
      <c r="M12" s="841"/>
      <c r="N12" s="1151"/>
      <c r="O12" s="842"/>
      <c r="P12" s="1147"/>
      <c r="Q12" s="805"/>
      <c r="R12" s="843"/>
      <c r="S12" s="844"/>
      <c r="T12" s="784"/>
      <c r="U12" s="248"/>
      <c r="V12" s="397"/>
      <c r="W12" s="248"/>
      <c r="X12" s="784"/>
      <c r="Y12" s="844"/>
      <c r="Z12" s="784"/>
      <c r="AA12" s="248"/>
      <c r="AB12" s="397"/>
      <c r="AC12" s="248"/>
      <c r="AD12" s="397"/>
      <c r="AE12" s="248"/>
      <c r="AF12" s="397"/>
      <c r="AG12" s="248"/>
      <c r="AH12" s="397"/>
      <c r="AI12" s="248"/>
      <c r="AJ12" s="397"/>
      <c r="AK12" s="248"/>
      <c r="AL12" s="397"/>
      <c r="AM12" s="824"/>
      <c r="AN12" s="397"/>
      <c r="AO12" s="824"/>
      <c r="AP12" s="397"/>
      <c r="AQ12" s="824"/>
      <c r="AR12" s="397"/>
      <c r="AS12" s="824"/>
      <c r="AT12" s="397"/>
      <c r="AU12" s="1069"/>
      <c r="AV12" s="825"/>
      <c r="AW12" s="802"/>
      <c r="AX12" s="804"/>
      <c r="AY12" s="419"/>
    </row>
    <row r="13" spans="1:51">
      <c r="A13" s="1177"/>
      <c r="B13" s="1155"/>
      <c r="C13" s="1088"/>
      <c r="D13" s="1201"/>
      <c r="E13" s="1139"/>
      <c r="F13" s="1139"/>
      <c r="G13" s="1139"/>
      <c r="H13" s="210" t="s">
        <v>27</v>
      </c>
      <c r="I13" s="211" t="s">
        <v>28</v>
      </c>
      <c r="J13" s="212" t="s">
        <v>47</v>
      </c>
      <c r="K13" s="839"/>
      <c r="L13" s="840"/>
      <c r="M13" s="419"/>
      <c r="N13" s="1151"/>
      <c r="O13" s="842"/>
      <c r="P13" s="1147"/>
      <c r="Q13" s="805"/>
      <c r="R13" s="843"/>
      <c r="S13" s="844"/>
      <c r="T13" s="784"/>
      <c r="U13" s="248"/>
      <c r="V13" s="397"/>
      <c r="W13" s="248"/>
      <c r="X13" s="784"/>
      <c r="Y13" s="844"/>
      <c r="Z13" s="784"/>
      <c r="AA13" s="248"/>
      <c r="AB13" s="397"/>
      <c r="AC13" s="248"/>
      <c r="AD13" s="397"/>
      <c r="AE13" s="248"/>
      <c r="AF13" s="397"/>
      <c r="AG13" s="248"/>
      <c r="AH13" s="397"/>
      <c r="AI13" s="248"/>
      <c r="AJ13" s="397"/>
      <c r="AK13" s="248"/>
      <c r="AL13" s="397"/>
      <c r="AM13" s="824"/>
      <c r="AN13" s="397"/>
      <c r="AO13" s="824"/>
      <c r="AP13" s="397"/>
      <c r="AQ13" s="824"/>
      <c r="AR13" s="397"/>
      <c r="AS13" s="824"/>
      <c r="AT13" s="397"/>
      <c r="AU13" s="1069"/>
      <c r="AV13" s="825"/>
      <c r="AW13" s="802"/>
      <c r="AX13" s="806"/>
      <c r="AY13" s="419"/>
    </row>
    <row r="14" spans="1:51" ht="14.1" thickBot="1">
      <c r="A14" s="1177"/>
      <c r="B14" s="1155"/>
      <c r="C14" s="1088"/>
      <c r="D14" s="1201"/>
      <c r="E14" s="1139"/>
      <c r="F14" s="1139"/>
      <c r="G14" s="1139"/>
      <c r="H14" s="210" t="s">
        <v>30</v>
      </c>
      <c r="I14" s="291" t="s">
        <v>31</v>
      </c>
      <c r="J14" s="257" t="s">
        <v>48</v>
      </c>
      <c r="K14" s="845"/>
      <c r="L14" s="846"/>
      <c r="M14" s="841"/>
      <c r="N14" s="1151"/>
      <c r="O14" s="842"/>
      <c r="P14" s="1147"/>
      <c r="Q14" s="810"/>
      <c r="R14" s="847"/>
      <c r="S14" s="844"/>
      <c r="T14" s="848"/>
      <c r="U14" s="262"/>
      <c r="V14" s="434"/>
      <c r="W14" s="262"/>
      <c r="X14" s="848"/>
      <c r="Y14" s="844"/>
      <c r="Z14" s="848"/>
      <c r="AA14" s="262"/>
      <c r="AB14" s="434"/>
      <c r="AC14" s="262"/>
      <c r="AD14" s="434"/>
      <c r="AE14" s="262"/>
      <c r="AF14" s="434"/>
      <c r="AG14" s="262"/>
      <c r="AH14" s="434"/>
      <c r="AI14" s="262"/>
      <c r="AJ14" s="434"/>
      <c r="AK14" s="262"/>
      <c r="AL14" s="434"/>
      <c r="AM14" s="824"/>
      <c r="AN14" s="434"/>
      <c r="AO14" s="824"/>
      <c r="AP14" s="434"/>
      <c r="AQ14" s="824"/>
      <c r="AR14" s="434"/>
      <c r="AS14" s="824"/>
      <c r="AT14" s="434"/>
      <c r="AU14" s="1069"/>
      <c r="AV14" s="825"/>
      <c r="AW14" s="802"/>
      <c r="AX14" s="806"/>
      <c r="AY14" s="419"/>
    </row>
    <row r="15" spans="1:51">
      <c r="A15" s="1161">
        <v>7</v>
      </c>
      <c r="B15" s="1083" t="s">
        <v>694</v>
      </c>
      <c r="C15" s="1172" t="s">
        <v>49</v>
      </c>
      <c r="D15" s="1200">
        <v>159184</v>
      </c>
      <c r="E15" s="1138" t="s">
        <v>750</v>
      </c>
      <c r="F15" s="1138" t="s">
        <v>21</v>
      </c>
      <c r="G15" s="1138" t="s">
        <v>22</v>
      </c>
      <c r="H15" s="199" t="s">
        <v>23</v>
      </c>
      <c r="I15" s="293" t="s">
        <v>42</v>
      </c>
      <c r="J15" s="201" t="s">
        <v>749</v>
      </c>
      <c r="K15" s="831"/>
      <c r="L15" s="832"/>
      <c r="M15" s="849"/>
      <c r="N15" s="1245"/>
      <c r="O15" s="836"/>
      <c r="P15" s="783"/>
      <c r="Q15" s="792"/>
      <c r="R15" s="835"/>
      <c r="S15" s="836"/>
      <c r="T15" s="850"/>
      <c r="U15" s="296"/>
      <c r="V15" s="1262"/>
      <c r="W15" s="297"/>
      <c r="X15" s="1257"/>
      <c r="Y15" s="851"/>
      <c r="Z15" s="1057"/>
      <c r="AA15" s="237"/>
      <c r="AB15" s="443"/>
      <c r="AC15" s="237"/>
      <c r="AD15" s="443"/>
      <c r="AE15" s="237"/>
      <c r="AF15" s="443"/>
      <c r="AG15" s="237"/>
      <c r="AH15" s="443"/>
      <c r="AI15" s="237"/>
      <c r="AJ15" s="443"/>
      <c r="AK15" s="237"/>
      <c r="AL15" s="443"/>
      <c r="AM15" s="816"/>
      <c r="AN15" s="443"/>
      <c r="AO15" s="816"/>
      <c r="AP15" s="443"/>
      <c r="AQ15" s="816"/>
      <c r="AR15" s="443"/>
      <c r="AS15" s="816"/>
      <c r="AT15" s="443"/>
      <c r="AU15" s="1068"/>
      <c r="AV15" s="818"/>
      <c r="AW15" s="837"/>
      <c r="AX15" s="838"/>
      <c r="AY15" s="419"/>
    </row>
    <row r="16" spans="1:51" ht="14.1">
      <c r="A16" s="1162"/>
      <c r="B16" s="1084"/>
      <c r="C16" s="1173"/>
      <c r="D16" s="1201"/>
      <c r="E16" s="1139"/>
      <c r="F16" s="1139"/>
      <c r="G16" s="1139"/>
      <c r="H16" s="210" t="s">
        <v>25</v>
      </c>
      <c r="I16" s="299" t="s">
        <v>43</v>
      </c>
      <c r="J16" s="286" t="s">
        <v>44</v>
      </c>
      <c r="K16" s="839"/>
      <c r="L16" s="852"/>
      <c r="M16" s="853"/>
      <c r="N16" s="1054"/>
      <c r="O16" s="844"/>
      <c r="P16" s="784"/>
      <c r="Q16" s="805"/>
      <c r="R16" s="843"/>
      <c r="S16" s="844"/>
      <c r="T16" s="854"/>
      <c r="U16" s="302"/>
      <c r="V16" s="1262"/>
      <c r="W16" s="303"/>
      <c r="X16" s="1258"/>
      <c r="Y16" s="855"/>
      <c r="Z16" s="1054"/>
      <c r="AA16" s="248"/>
      <c r="AB16" s="397"/>
      <c r="AC16" s="248"/>
      <c r="AD16" s="397"/>
      <c r="AE16" s="248"/>
      <c r="AF16" s="397"/>
      <c r="AG16" s="248"/>
      <c r="AH16" s="397"/>
      <c r="AI16" s="248"/>
      <c r="AJ16" s="397"/>
      <c r="AK16" s="248"/>
      <c r="AL16" s="397"/>
      <c r="AM16" s="824"/>
      <c r="AN16" s="397"/>
      <c r="AO16" s="824"/>
      <c r="AP16" s="397"/>
      <c r="AQ16" s="824"/>
      <c r="AR16" s="397"/>
      <c r="AS16" s="824"/>
      <c r="AT16" s="397"/>
      <c r="AU16" s="1069"/>
      <c r="AV16" s="825"/>
      <c r="AW16" s="802"/>
      <c r="AX16" s="826"/>
      <c r="AY16" s="419"/>
    </row>
    <row r="17" spans="1:52">
      <c r="A17" s="1162"/>
      <c r="B17" s="1084"/>
      <c r="C17" s="1173"/>
      <c r="D17" s="1201"/>
      <c r="E17" s="1139"/>
      <c r="F17" s="1139"/>
      <c r="G17" s="1139"/>
      <c r="H17" s="210" t="s">
        <v>27</v>
      </c>
      <c r="I17" s="299" t="s">
        <v>28</v>
      </c>
      <c r="J17" s="212" t="s">
        <v>52</v>
      </c>
      <c r="K17" s="839"/>
      <c r="L17" s="840"/>
      <c r="M17" s="853"/>
      <c r="N17" s="1054"/>
      <c r="O17" s="844"/>
      <c r="P17" s="784"/>
      <c r="Q17" s="805"/>
      <c r="R17" s="843"/>
      <c r="S17" s="844"/>
      <c r="T17" s="854"/>
      <c r="U17" s="305"/>
      <c r="V17" s="1262"/>
      <c r="W17" s="303"/>
      <c r="X17" s="1258"/>
      <c r="Y17" s="801"/>
      <c r="Z17" s="1054"/>
      <c r="AA17" s="248"/>
      <c r="AB17" s="397"/>
      <c r="AC17" s="248"/>
      <c r="AD17" s="397"/>
      <c r="AE17" s="248"/>
      <c r="AF17" s="397"/>
      <c r="AG17" s="248"/>
      <c r="AH17" s="397"/>
      <c r="AI17" s="248"/>
      <c r="AJ17" s="397"/>
      <c r="AK17" s="248"/>
      <c r="AL17" s="397"/>
      <c r="AM17" s="824"/>
      <c r="AN17" s="397"/>
      <c r="AO17" s="824"/>
      <c r="AP17" s="397"/>
      <c r="AQ17" s="824"/>
      <c r="AR17" s="397"/>
      <c r="AS17" s="824"/>
      <c r="AT17" s="397"/>
      <c r="AU17" s="1069"/>
      <c r="AV17" s="825"/>
      <c r="AW17" s="802"/>
      <c r="AX17" s="806"/>
      <c r="AY17" s="419"/>
    </row>
    <row r="18" spans="1:52" ht="14.1" thickBot="1">
      <c r="A18" s="1163"/>
      <c r="B18" s="1199"/>
      <c r="C18" s="1174"/>
      <c r="D18" s="1201"/>
      <c r="E18" s="1140"/>
      <c r="F18" s="1140"/>
      <c r="G18" s="1140"/>
      <c r="H18" s="306" t="s">
        <v>30</v>
      </c>
      <c r="I18" s="307" t="s">
        <v>31</v>
      </c>
      <c r="J18" s="308" t="s">
        <v>53</v>
      </c>
      <c r="K18" s="856"/>
      <c r="L18" s="857"/>
      <c r="M18" s="858"/>
      <c r="N18" s="1055"/>
      <c r="O18" s="859"/>
      <c r="P18" s="785"/>
      <c r="Q18" s="860"/>
      <c r="R18" s="861"/>
      <c r="S18" s="859"/>
      <c r="T18" s="862"/>
      <c r="U18" s="305"/>
      <c r="V18" s="1262"/>
      <c r="W18" s="317"/>
      <c r="X18" s="1259"/>
      <c r="Y18" s="863"/>
      <c r="Z18" s="1055"/>
      <c r="AA18" s="864"/>
      <c r="AB18" s="865"/>
      <c r="AC18" s="864"/>
      <c r="AD18" s="865"/>
      <c r="AE18" s="864"/>
      <c r="AF18" s="865"/>
      <c r="AG18" s="864"/>
      <c r="AH18" s="865"/>
      <c r="AI18" s="864"/>
      <c r="AJ18" s="865"/>
      <c r="AK18" s="864"/>
      <c r="AL18" s="865"/>
      <c r="AM18" s="866"/>
      <c r="AN18" s="865"/>
      <c r="AO18" s="866"/>
      <c r="AP18" s="865"/>
      <c r="AQ18" s="866"/>
      <c r="AR18" s="865"/>
      <c r="AS18" s="866"/>
      <c r="AT18" s="865"/>
      <c r="AU18" s="1070"/>
      <c r="AV18" s="867"/>
      <c r="AW18" s="868"/>
      <c r="AX18" s="869"/>
      <c r="AY18" s="419"/>
    </row>
    <row r="19" spans="1:52">
      <c r="A19" s="1177">
        <v>8</v>
      </c>
      <c r="B19" s="1155" t="s">
        <v>695</v>
      </c>
      <c r="C19" s="1088" t="s">
        <v>55</v>
      </c>
      <c r="D19" s="1184">
        <v>0</v>
      </c>
      <c r="E19" s="1139" t="s">
        <v>56</v>
      </c>
      <c r="F19" s="1139" t="s">
        <v>21</v>
      </c>
      <c r="G19" s="1139" t="s">
        <v>22</v>
      </c>
      <c r="H19" s="210" t="s">
        <v>23</v>
      </c>
      <c r="I19" s="325" t="s">
        <v>42</v>
      </c>
      <c r="J19" s="326" t="s">
        <v>57</v>
      </c>
      <c r="K19" s="870"/>
      <c r="L19" s="1183"/>
      <c r="M19" s="871"/>
      <c r="N19" s="1054"/>
      <c r="O19" s="871"/>
      <c r="P19" s="1054"/>
      <c r="Q19" s="872"/>
      <c r="R19" s="1260"/>
      <c r="S19" s="872"/>
      <c r="T19" s="1260"/>
      <c r="U19" s="872"/>
      <c r="V19" s="873"/>
      <c r="W19" s="872"/>
      <c r="X19" s="873"/>
      <c r="Y19" s="872"/>
      <c r="Z19" s="873"/>
      <c r="AA19" s="872"/>
      <c r="AB19" s="873"/>
      <c r="AC19" s="872"/>
      <c r="AD19" s="873"/>
      <c r="AE19" s="872"/>
      <c r="AF19" s="873"/>
      <c r="AG19" s="872"/>
      <c r="AH19" s="873"/>
      <c r="AI19" s="872"/>
      <c r="AJ19" s="873"/>
      <c r="AK19" s="872"/>
      <c r="AL19" s="873"/>
      <c r="AM19" s="801"/>
      <c r="AN19" s="873"/>
      <c r="AO19" s="801"/>
      <c r="AP19" s="873"/>
      <c r="AQ19" s="801"/>
      <c r="AR19" s="873"/>
      <c r="AS19" s="801"/>
      <c r="AT19" s="873"/>
      <c r="AU19" s="1069"/>
      <c r="AV19" s="825"/>
      <c r="AW19" s="874"/>
      <c r="AX19" s="806"/>
      <c r="AY19" s="419"/>
    </row>
    <row r="20" spans="1:52" ht="14.1">
      <c r="A20" s="1177"/>
      <c r="B20" s="1155"/>
      <c r="C20" s="1088"/>
      <c r="D20" s="1185"/>
      <c r="E20" s="1139"/>
      <c r="F20" s="1139"/>
      <c r="G20" s="1139"/>
      <c r="H20" s="210" t="s">
        <v>25</v>
      </c>
      <c r="I20" s="299" t="s">
        <v>43</v>
      </c>
      <c r="J20" s="286"/>
      <c r="K20" s="875"/>
      <c r="L20" s="1144"/>
      <c r="M20" s="799"/>
      <c r="N20" s="1054"/>
      <c r="O20" s="799"/>
      <c r="P20" s="1054"/>
      <c r="Q20" s="799"/>
      <c r="R20" s="1188"/>
      <c r="S20" s="799"/>
      <c r="T20" s="1188"/>
      <c r="U20" s="799"/>
      <c r="V20" s="397"/>
      <c r="W20" s="799"/>
      <c r="X20" s="397"/>
      <c r="Y20" s="799"/>
      <c r="Z20" s="397"/>
      <c r="AA20" s="799"/>
      <c r="AB20" s="397"/>
      <c r="AC20" s="799"/>
      <c r="AD20" s="397"/>
      <c r="AE20" s="799"/>
      <c r="AF20" s="397"/>
      <c r="AG20" s="799"/>
      <c r="AH20" s="397"/>
      <c r="AI20" s="799"/>
      <c r="AJ20" s="397"/>
      <c r="AK20" s="799"/>
      <c r="AL20" s="397"/>
      <c r="AM20" s="801"/>
      <c r="AN20" s="397"/>
      <c r="AO20" s="801"/>
      <c r="AP20" s="397"/>
      <c r="AQ20" s="801"/>
      <c r="AR20" s="397"/>
      <c r="AS20" s="801"/>
      <c r="AT20" s="397"/>
      <c r="AU20" s="1069"/>
      <c r="AV20" s="825"/>
      <c r="AW20" s="802"/>
      <c r="AX20" s="804"/>
      <c r="AY20" s="419"/>
    </row>
    <row r="21" spans="1:52">
      <c r="A21" s="1177"/>
      <c r="B21" s="1155"/>
      <c r="C21" s="1088"/>
      <c r="D21" s="1185"/>
      <c r="E21" s="1139"/>
      <c r="F21" s="1139"/>
      <c r="G21" s="1139"/>
      <c r="H21" s="210" t="s">
        <v>27</v>
      </c>
      <c r="I21" s="299" t="s">
        <v>28</v>
      </c>
      <c r="J21" s="212" t="s">
        <v>59</v>
      </c>
      <c r="K21" s="875"/>
      <c r="L21" s="1144"/>
      <c r="M21" s="799"/>
      <c r="N21" s="1054"/>
      <c r="O21" s="799"/>
      <c r="P21" s="1054"/>
      <c r="Q21" s="799"/>
      <c r="R21" s="1188"/>
      <c r="S21" s="799"/>
      <c r="T21" s="1188"/>
      <c r="U21" s="799"/>
      <c r="V21" s="397"/>
      <c r="W21" s="799"/>
      <c r="X21" s="397"/>
      <c r="Y21" s="799"/>
      <c r="Z21" s="397"/>
      <c r="AA21" s="799"/>
      <c r="AB21" s="397"/>
      <c r="AC21" s="799"/>
      <c r="AD21" s="397"/>
      <c r="AE21" s="799"/>
      <c r="AF21" s="397"/>
      <c r="AG21" s="799"/>
      <c r="AH21" s="397"/>
      <c r="AI21" s="799"/>
      <c r="AJ21" s="397"/>
      <c r="AK21" s="799"/>
      <c r="AL21" s="397"/>
      <c r="AM21" s="801"/>
      <c r="AN21" s="397"/>
      <c r="AO21" s="801"/>
      <c r="AP21" s="397"/>
      <c r="AQ21" s="801"/>
      <c r="AR21" s="397"/>
      <c r="AS21" s="801"/>
      <c r="AT21" s="397"/>
      <c r="AU21" s="1069"/>
      <c r="AV21" s="825"/>
      <c r="AW21" s="802"/>
      <c r="AX21" s="806"/>
      <c r="AY21" s="419"/>
    </row>
    <row r="22" spans="1:52" ht="14.7" thickBot="1">
      <c r="A22" s="1177"/>
      <c r="B22" s="1155"/>
      <c r="C22" s="1088"/>
      <c r="D22" s="1186"/>
      <c r="E22" s="1139"/>
      <c r="F22" s="1139"/>
      <c r="G22" s="1139"/>
      <c r="H22" s="210" t="s">
        <v>30</v>
      </c>
      <c r="I22" s="291" t="s">
        <v>31</v>
      </c>
      <c r="J22" t="s">
        <v>60</v>
      </c>
      <c r="K22" s="876"/>
      <c r="L22" s="1145"/>
      <c r="M22" s="809"/>
      <c r="N22" s="1054"/>
      <c r="O22" s="809"/>
      <c r="P22" s="1054"/>
      <c r="Q22" s="809"/>
      <c r="R22" s="1189"/>
      <c r="S22" s="809"/>
      <c r="T22" s="1189"/>
      <c r="U22" s="809"/>
      <c r="V22" s="434"/>
      <c r="W22" s="809"/>
      <c r="X22" s="434"/>
      <c r="Y22" s="809"/>
      <c r="Z22" s="434"/>
      <c r="AA22" s="809"/>
      <c r="AB22" s="434"/>
      <c r="AC22" s="809"/>
      <c r="AD22" s="434"/>
      <c r="AE22" s="809"/>
      <c r="AF22" s="434"/>
      <c r="AG22" s="809"/>
      <c r="AH22" s="434"/>
      <c r="AI22" s="809"/>
      <c r="AJ22" s="434"/>
      <c r="AK22" s="809"/>
      <c r="AL22" s="434"/>
      <c r="AM22" s="801"/>
      <c r="AN22" s="434"/>
      <c r="AO22" s="801"/>
      <c r="AP22" s="434"/>
      <c r="AQ22" s="801"/>
      <c r="AR22" s="434"/>
      <c r="AS22" s="801"/>
      <c r="AT22" s="434"/>
      <c r="AU22" s="1069"/>
      <c r="AV22" s="825"/>
      <c r="AW22" s="802"/>
      <c r="AX22" s="806"/>
      <c r="AY22" s="419"/>
    </row>
    <row r="23" spans="1:52">
      <c r="A23" s="1158">
        <v>9</v>
      </c>
      <c r="B23" s="1116" t="s">
        <v>696</v>
      </c>
      <c r="C23" s="1170" t="s">
        <v>62</v>
      </c>
      <c r="D23" s="1204">
        <f>112422+183124</f>
        <v>295546</v>
      </c>
      <c r="E23" s="1133" t="s">
        <v>745</v>
      </c>
      <c r="F23" s="1141" t="s">
        <v>21</v>
      </c>
      <c r="G23" s="1138" t="s">
        <v>22</v>
      </c>
      <c r="H23" s="199" t="s">
        <v>23</v>
      </c>
      <c r="I23" s="200" t="s">
        <v>24</v>
      </c>
      <c r="J23" s="201" t="s">
        <v>746</v>
      </c>
      <c r="K23" s="877"/>
      <c r="L23" s="1143"/>
      <c r="M23" s="878"/>
      <c r="N23" s="1057"/>
      <c r="O23" s="791"/>
      <c r="P23" s="1187"/>
      <c r="Q23" s="791"/>
      <c r="R23" s="1261"/>
      <c r="S23" s="879"/>
      <c r="T23" s="1187"/>
      <c r="U23" s="791"/>
      <c r="V23" s="443"/>
      <c r="W23" s="790"/>
      <c r="X23" s="1050"/>
      <c r="Y23" s="791"/>
      <c r="Z23" s="443"/>
      <c r="AA23" s="791"/>
      <c r="AB23" s="443"/>
      <c r="AC23" s="880"/>
      <c r="AD23" s="1050"/>
      <c r="AE23" s="791"/>
      <c r="AF23" s="443"/>
      <c r="AG23" s="791"/>
      <c r="AH23" s="443"/>
      <c r="AI23" s="880"/>
      <c r="AJ23" s="1050"/>
      <c r="AK23" s="791"/>
      <c r="AL23" s="443"/>
      <c r="AM23" s="793"/>
      <c r="AN23" s="443"/>
      <c r="AO23" s="793"/>
      <c r="AP23" s="443"/>
      <c r="AQ23" s="793"/>
      <c r="AR23" s="443"/>
      <c r="AS23" s="793"/>
      <c r="AT23" s="443"/>
      <c r="AU23" s="1068"/>
      <c r="AV23" s="818"/>
      <c r="AW23" s="837"/>
      <c r="AX23" s="838"/>
      <c r="AY23" s="419"/>
    </row>
    <row r="24" spans="1:52" ht="14.1">
      <c r="A24" s="1159"/>
      <c r="B24" s="1117"/>
      <c r="C24" s="1171"/>
      <c r="D24" s="1185"/>
      <c r="E24" s="1134"/>
      <c r="F24" s="1142"/>
      <c r="G24" s="1139"/>
      <c r="H24" s="210" t="s">
        <v>25</v>
      </c>
      <c r="I24" s="211" t="s">
        <v>26</v>
      </c>
      <c r="J24" s="212"/>
      <c r="K24" s="881"/>
      <c r="L24" s="1144"/>
      <c r="M24" s="801"/>
      <c r="N24" s="1054"/>
      <c r="O24" s="799"/>
      <c r="P24" s="1188"/>
      <c r="Q24" s="799"/>
      <c r="R24" s="1188"/>
      <c r="S24" s="882"/>
      <c r="T24" s="1188"/>
      <c r="U24" s="799"/>
      <c r="V24" s="397"/>
      <c r="W24" s="799"/>
      <c r="X24" s="1051"/>
      <c r="Y24" s="799"/>
      <c r="Z24" s="397"/>
      <c r="AA24" s="799"/>
      <c r="AB24" s="397"/>
      <c r="AC24" s="799"/>
      <c r="AD24" s="1051"/>
      <c r="AE24" s="799"/>
      <c r="AF24" s="397"/>
      <c r="AG24" s="799"/>
      <c r="AH24" s="397"/>
      <c r="AI24" s="799"/>
      <c r="AJ24" s="1051"/>
      <c r="AK24" s="799"/>
      <c r="AL24" s="397"/>
      <c r="AM24" s="801"/>
      <c r="AN24" s="397"/>
      <c r="AO24" s="801"/>
      <c r="AP24" s="397"/>
      <c r="AQ24" s="801"/>
      <c r="AR24" s="397"/>
      <c r="AS24" s="801"/>
      <c r="AT24" s="397"/>
      <c r="AU24" s="1069"/>
      <c r="AV24" s="825"/>
      <c r="AW24" s="802"/>
      <c r="AX24" s="804"/>
      <c r="AY24" s="419"/>
    </row>
    <row r="25" spans="1:52">
      <c r="A25" s="1159"/>
      <c r="B25" s="1117"/>
      <c r="C25" s="1171"/>
      <c r="D25" s="1185"/>
      <c r="E25" s="1134"/>
      <c r="F25" s="1142"/>
      <c r="G25" s="1139"/>
      <c r="H25" s="210" t="s">
        <v>27</v>
      </c>
      <c r="I25" s="211" t="s">
        <v>66</v>
      </c>
      <c r="J25" s="212" t="s">
        <v>67</v>
      </c>
      <c r="K25" s="881"/>
      <c r="L25" s="1144"/>
      <c r="M25" s="801"/>
      <c r="N25" s="1054"/>
      <c r="O25" s="799"/>
      <c r="P25" s="1188"/>
      <c r="Q25" s="799"/>
      <c r="R25" s="1188"/>
      <c r="S25" s="882"/>
      <c r="T25" s="1188"/>
      <c r="U25" s="799"/>
      <c r="V25" s="397"/>
      <c r="W25" s="799"/>
      <c r="X25" s="1051"/>
      <c r="Y25" s="799"/>
      <c r="Z25" s="397"/>
      <c r="AA25" s="799"/>
      <c r="AB25" s="397"/>
      <c r="AC25" s="799"/>
      <c r="AD25" s="1051"/>
      <c r="AE25" s="799"/>
      <c r="AF25" s="397"/>
      <c r="AG25" s="799"/>
      <c r="AH25" s="397"/>
      <c r="AI25" s="799"/>
      <c r="AJ25" s="1051"/>
      <c r="AK25" s="799"/>
      <c r="AL25" s="397"/>
      <c r="AM25" s="801"/>
      <c r="AN25" s="397"/>
      <c r="AO25" s="801"/>
      <c r="AP25" s="397"/>
      <c r="AQ25" s="801"/>
      <c r="AR25" s="397"/>
      <c r="AS25" s="801"/>
      <c r="AT25" s="397"/>
      <c r="AU25" s="1069"/>
      <c r="AV25" s="825"/>
      <c r="AW25" s="802"/>
      <c r="AX25" s="806"/>
      <c r="AY25" s="419"/>
    </row>
    <row r="26" spans="1:52" ht="14.1" thickBot="1">
      <c r="A26" s="1159"/>
      <c r="B26" s="1117"/>
      <c r="C26" s="1171"/>
      <c r="D26" s="1186"/>
      <c r="E26" s="1203"/>
      <c r="F26" s="1142"/>
      <c r="G26" s="1139"/>
      <c r="H26" s="210" t="s">
        <v>30</v>
      </c>
      <c r="I26" s="223" t="s">
        <v>68</v>
      </c>
      <c r="J26" s="224" t="s">
        <v>32</v>
      </c>
      <c r="K26" s="881"/>
      <c r="L26" s="1145"/>
      <c r="M26" s="801"/>
      <c r="N26" s="1054"/>
      <c r="O26" s="809"/>
      <c r="P26" s="1189"/>
      <c r="Q26" s="809"/>
      <c r="R26" s="1189"/>
      <c r="S26" s="882"/>
      <c r="T26" s="1189"/>
      <c r="U26" s="809"/>
      <c r="V26" s="434"/>
      <c r="W26" s="809"/>
      <c r="X26" s="1051"/>
      <c r="Y26" s="809"/>
      <c r="Z26" s="434"/>
      <c r="AA26" s="809"/>
      <c r="AB26" s="434"/>
      <c r="AC26" s="809"/>
      <c r="AD26" s="1051"/>
      <c r="AE26" s="809"/>
      <c r="AF26" s="434"/>
      <c r="AG26" s="809"/>
      <c r="AH26" s="434"/>
      <c r="AI26" s="809"/>
      <c r="AJ26" s="1051"/>
      <c r="AK26" s="809"/>
      <c r="AL26" s="434"/>
      <c r="AM26" s="801"/>
      <c r="AN26" s="434"/>
      <c r="AO26" s="801"/>
      <c r="AP26" s="434"/>
      <c r="AQ26" s="801"/>
      <c r="AR26" s="434"/>
      <c r="AS26" s="801"/>
      <c r="AT26" s="434"/>
      <c r="AU26" s="1069"/>
      <c r="AV26" s="825"/>
      <c r="AW26" s="802"/>
      <c r="AX26" s="806"/>
      <c r="AY26" s="419"/>
    </row>
    <row r="27" spans="1:52">
      <c r="A27" s="1158">
        <v>10</v>
      </c>
      <c r="B27" s="1164" t="s">
        <v>69</v>
      </c>
      <c r="C27" s="1085" t="s">
        <v>49</v>
      </c>
      <c r="D27" s="1254">
        <v>0</v>
      </c>
      <c r="E27" s="1133" t="s">
        <v>70</v>
      </c>
      <c r="F27" s="1138" t="s">
        <v>21</v>
      </c>
      <c r="G27" s="1138" t="s">
        <v>22</v>
      </c>
      <c r="H27" s="199" t="s">
        <v>23</v>
      </c>
      <c r="I27" s="200" t="s">
        <v>26</v>
      </c>
      <c r="J27" s="201" t="s">
        <v>71</v>
      </c>
      <c r="K27" s="883"/>
      <c r="L27" s="1246"/>
      <c r="M27" s="791"/>
      <c r="N27" s="1187"/>
      <c r="O27" s="791"/>
      <c r="P27" s="1057"/>
      <c r="Q27" s="791"/>
      <c r="R27" s="1187"/>
      <c r="S27" s="791"/>
      <c r="T27" s="1187"/>
      <c r="U27" s="443"/>
      <c r="V27" s="443"/>
      <c r="W27" s="443"/>
      <c r="X27" s="443"/>
      <c r="Y27" s="443"/>
      <c r="Z27" s="1060"/>
      <c r="AA27" s="443"/>
      <c r="AB27" s="579"/>
      <c r="AC27" s="443"/>
      <c r="AD27" s="443"/>
      <c r="AE27" s="443"/>
      <c r="AF27" s="443"/>
      <c r="AG27" s="443"/>
      <c r="AH27" s="443"/>
      <c r="AI27" s="443"/>
      <c r="AJ27" s="443"/>
      <c r="AK27" s="443"/>
      <c r="AL27" s="443"/>
      <c r="AM27" s="443"/>
      <c r="AN27" s="443"/>
      <c r="AO27" s="443"/>
      <c r="AP27" s="443"/>
      <c r="AQ27" s="443"/>
      <c r="AR27" s="443"/>
      <c r="AS27" s="443"/>
      <c r="AT27" s="443"/>
      <c r="AU27" s="1068"/>
      <c r="AV27" s="818"/>
      <c r="AW27" s="837"/>
      <c r="AX27" s="838"/>
      <c r="AY27" s="419"/>
    </row>
    <row r="28" spans="1:52" ht="14.1">
      <c r="A28" s="1159"/>
      <c r="B28" s="1165"/>
      <c r="C28" s="1086"/>
      <c r="D28" s="1255"/>
      <c r="E28" s="1134"/>
      <c r="F28" s="1139"/>
      <c r="G28" s="1139"/>
      <c r="H28" s="210" t="s">
        <v>25</v>
      </c>
      <c r="I28" s="211" t="s">
        <v>28</v>
      </c>
      <c r="J28" s="212"/>
      <c r="K28" s="875"/>
      <c r="L28" s="1247"/>
      <c r="M28" s="799"/>
      <c r="N28" s="1188"/>
      <c r="O28" s="799"/>
      <c r="P28" s="1054"/>
      <c r="Q28" s="799"/>
      <c r="R28" s="1188"/>
      <c r="S28" s="799"/>
      <c r="T28" s="1188"/>
      <c r="U28" s="397"/>
      <c r="V28" s="397"/>
      <c r="W28" s="397"/>
      <c r="X28" s="397"/>
      <c r="Y28" s="397"/>
      <c r="Z28" s="1067"/>
      <c r="AA28" s="397"/>
      <c r="AB28" s="419"/>
      <c r="AC28" s="397"/>
      <c r="AD28" s="397"/>
      <c r="AE28" s="397"/>
      <c r="AF28" s="397"/>
      <c r="AG28" s="397"/>
      <c r="AH28" s="397"/>
      <c r="AI28" s="397"/>
      <c r="AJ28" s="397"/>
      <c r="AK28" s="397"/>
      <c r="AL28" s="397"/>
      <c r="AM28" s="397"/>
      <c r="AN28" s="397"/>
      <c r="AO28" s="397"/>
      <c r="AP28" s="397"/>
      <c r="AQ28" s="397"/>
      <c r="AR28" s="397"/>
      <c r="AS28" s="397"/>
      <c r="AT28" s="397"/>
      <c r="AU28" s="1069"/>
      <c r="AV28" s="825"/>
      <c r="AW28" s="802"/>
      <c r="AX28" s="804"/>
      <c r="AY28" s="419"/>
    </row>
    <row r="29" spans="1:52">
      <c r="A29" s="1159"/>
      <c r="B29" s="1165"/>
      <c r="C29" s="1086"/>
      <c r="D29" s="1255"/>
      <c r="E29" s="1134"/>
      <c r="F29" s="1139"/>
      <c r="G29" s="1139"/>
      <c r="H29" s="210" t="s">
        <v>27</v>
      </c>
      <c r="I29" s="211" t="s">
        <v>31</v>
      </c>
      <c r="J29" s="212" t="s">
        <v>39</v>
      </c>
      <c r="K29" s="875"/>
      <c r="L29" s="1247"/>
      <c r="M29" s="799"/>
      <c r="N29" s="1188"/>
      <c r="O29" s="799"/>
      <c r="P29" s="1054"/>
      <c r="Q29" s="799"/>
      <c r="R29" s="1188"/>
      <c r="S29" s="799"/>
      <c r="T29" s="1188"/>
      <c r="U29" s="397"/>
      <c r="V29" s="397"/>
      <c r="W29" s="397"/>
      <c r="X29" s="397"/>
      <c r="Y29" s="397"/>
      <c r="Z29" s="1067"/>
      <c r="AA29" s="397"/>
      <c r="AB29" s="419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397"/>
      <c r="AN29" s="397"/>
      <c r="AO29" s="397"/>
      <c r="AP29" s="397"/>
      <c r="AQ29" s="397"/>
      <c r="AR29" s="397"/>
      <c r="AS29" s="397"/>
      <c r="AT29" s="397"/>
      <c r="AU29" s="1069"/>
      <c r="AV29" s="825"/>
      <c r="AW29" s="802"/>
      <c r="AX29" s="806"/>
      <c r="AY29" s="419"/>
    </row>
    <row r="30" spans="1:52" ht="14.1" thickBot="1">
      <c r="A30" s="1160"/>
      <c r="B30" s="1166"/>
      <c r="C30" s="1253"/>
      <c r="D30" s="1256"/>
      <c r="E30" s="1135"/>
      <c r="F30" s="1140"/>
      <c r="G30" s="1140"/>
      <c r="H30" s="306" t="s">
        <v>30</v>
      </c>
      <c r="I30" s="347" t="s">
        <v>73</v>
      </c>
      <c r="J30" s="348" t="s">
        <v>32</v>
      </c>
      <c r="K30" s="884"/>
      <c r="L30" s="1248"/>
      <c r="M30" s="885"/>
      <c r="N30" s="1249"/>
      <c r="O30" s="885"/>
      <c r="P30" s="1055"/>
      <c r="Q30" s="885"/>
      <c r="R30" s="1249"/>
      <c r="S30" s="885"/>
      <c r="T30" s="1249"/>
      <c r="U30" s="865"/>
      <c r="V30" s="865"/>
      <c r="W30" s="865"/>
      <c r="X30" s="865"/>
      <c r="Y30" s="865"/>
      <c r="Z30" s="1252"/>
      <c r="AA30" s="865"/>
      <c r="AB30" s="886"/>
      <c r="AC30" s="865"/>
      <c r="AD30" s="865"/>
      <c r="AE30" s="865"/>
      <c r="AF30" s="865"/>
      <c r="AG30" s="865"/>
      <c r="AH30" s="865"/>
      <c r="AI30" s="865"/>
      <c r="AJ30" s="865"/>
      <c r="AK30" s="865"/>
      <c r="AL30" s="865"/>
      <c r="AM30" s="865"/>
      <c r="AN30" s="865"/>
      <c r="AO30" s="865"/>
      <c r="AP30" s="865"/>
      <c r="AQ30" s="865"/>
      <c r="AR30" s="865"/>
      <c r="AS30" s="865"/>
      <c r="AT30" s="865"/>
      <c r="AU30" s="1070"/>
      <c r="AV30" s="867"/>
      <c r="AW30" s="868"/>
      <c r="AX30" s="869"/>
      <c r="AY30" s="419"/>
    </row>
    <row r="31" spans="1:52" ht="14.1">
      <c r="A31" s="1067">
        <v>11</v>
      </c>
      <c r="B31" s="1165" t="s">
        <v>74</v>
      </c>
      <c r="C31" s="1086" t="s">
        <v>20</v>
      </c>
      <c r="D31" s="1118">
        <v>0</v>
      </c>
      <c r="E31" s="1137" t="s">
        <v>75</v>
      </c>
      <c r="F31" s="1122" t="s">
        <v>76</v>
      </c>
      <c r="G31" s="1122" t="s">
        <v>22</v>
      </c>
      <c r="H31" s="210" t="s">
        <v>23</v>
      </c>
      <c r="I31" s="353" t="s">
        <v>42</v>
      </c>
      <c r="J31" s="326" t="s">
        <v>77</v>
      </c>
      <c r="K31" s="419"/>
      <c r="L31" s="1060"/>
      <c r="M31" s="887"/>
      <c r="N31" s="1250"/>
      <c r="O31" s="888"/>
      <c r="P31" s="1306"/>
      <c r="Q31" s="889"/>
      <c r="R31" s="1131"/>
      <c r="S31" s="419"/>
      <c r="T31" s="1059"/>
      <c r="U31" s="419"/>
      <c r="V31" s="1128"/>
      <c r="W31" s="419"/>
      <c r="X31" s="1057"/>
      <c r="Y31" s="872"/>
      <c r="Z31" s="873"/>
      <c r="AA31" s="890"/>
      <c r="AB31" s="1059"/>
      <c r="AC31" s="891"/>
      <c r="AD31" s="1058"/>
      <c r="AE31" s="891"/>
      <c r="AF31" s="1058"/>
      <c r="AG31" s="891"/>
      <c r="AH31" s="1058"/>
      <c r="AI31" s="891"/>
      <c r="AJ31" s="1058"/>
      <c r="AK31" s="891"/>
      <c r="AL31" s="1058"/>
      <c r="AM31" s="891"/>
      <c r="AN31" s="1058"/>
      <c r="AO31" s="891"/>
      <c r="AP31" s="1058"/>
      <c r="AQ31" s="891"/>
      <c r="AR31" s="1058"/>
      <c r="AS31" s="891"/>
      <c r="AT31" s="1058"/>
      <c r="AU31" s="1069"/>
      <c r="AV31" s="825"/>
      <c r="AW31" s="837"/>
      <c r="AX31" s="892"/>
      <c r="AY31" s="419"/>
      <c r="AZ31" s="360"/>
    </row>
    <row r="32" spans="1:52" ht="14.1">
      <c r="A32" s="1067"/>
      <c r="B32" s="1165"/>
      <c r="C32" s="1086"/>
      <c r="D32" s="1119"/>
      <c r="E32" s="1276"/>
      <c r="F32" s="1122"/>
      <c r="G32" s="1122"/>
      <c r="H32" s="210" t="s">
        <v>25</v>
      </c>
      <c r="I32" s="353" t="s">
        <v>81</v>
      </c>
      <c r="J32" s="212" t="s">
        <v>82</v>
      </c>
      <c r="K32" s="799"/>
      <c r="L32" s="1059"/>
      <c r="M32" s="893"/>
      <c r="N32" s="1251"/>
      <c r="O32" s="894"/>
      <c r="P32" s="1307"/>
      <c r="Q32" s="889"/>
      <c r="R32" s="1132"/>
      <c r="S32" s="799"/>
      <c r="T32" s="1059"/>
      <c r="U32" s="799"/>
      <c r="V32" s="1129"/>
      <c r="W32" s="895"/>
      <c r="X32" s="1054"/>
      <c r="Y32" s="799"/>
      <c r="Z32" s="397"/>
      <c r="AA32" s="890"/>
      <c r="AB32" s="1059"/>
      <c r="AC32" s="891"/>
      <c r="AD32" s="1058"/>
      <c r="AE32" s="891"/>
      <c r="AF32" s="1058"/>
      <c r="AG32" s="891"/>
      <c r="AH32" s="1058"/>
      <c r="AI32" s="891"/>
      <c r="AJ32" s="1058"/>
      <c r="AK32" s="891"/>
      <c r="AL32" s="1058"/>
      <c r="AM32" s="891"/>
      <c r="AN32" s="1058"/>
      <c r="AO32" s="891"/>
      <c r="AP32" s="1058"/>
      <c r="AQ32" s="891"/>
      <c r="AR32" s="1058"/>
      <c r="AS32" s="891"/>
      <c r="AT32" s="1058"/>
      <c r="AU32" s="1069"/>
      <c r="AV32" s="825"/>
      <c r="AW32" s="802"/>
      <c r="AX32" s="896"/>
      <c r="AY32" s="419"/>
      <c r="AZ32" s="360"/>
    </row>
    <row r="33" spans="1:84" ht="14.1">
      <c r="A33" s="1067"/>
      <c r="B33" s="1165"/>
      <c r="C33" s="1086"/>
      <c r="D33" s="1119"/>
      <c r="E33" s="1276"/>
      <c r="F33" s="1122"/>
      <c r="G33" s="1122"/>
      <c r="H33" s="210"/>
      <c r="I33" s="210"/>
      <c r="J33" s="212" t="s">
        <v>83</v>
      </c>
      <c r="K33" s="799"/>
      <c r="L33" s="1059"/>
      <c r="M33" s="893"/>
      <c r="N33" s="1251"/>
      <c r="O33" s="894"/>
      <c r="P33" s="1307"/>
      <c r="Q33" s="889"/>
      <c r="R33" s="1132"/>
      <c r="S33" s="799"/>
      <c r="T33" s="1059"/>
      <c r="U33" s="799"/>
      <c r="V33" s="1129"/>
      <c r="W33" s="895"/>
      <c r="X33" s="1054"/>
      <c r="Y33" s="799"/>
      <c r="Z33" s="397"/>
      <c r="AA33" s="890"/>
      <c r="AB33" s="1059"/>
      <c r="AC33" s="891"/>
      <c r="AD33" s="1058"/>
      <c r="AE33" s="891"/>
      <c r="AF33" s="1058"/>
      <c r="AG33" s="891"/>
      <c r="AH33" s="1058"/>
      <c r="AI33" s="891"/>
      <c r="AJ33" s="1058"/>
      <c r="AK33" s="891"/>
      <c r="AL33" s="1058"/>
      <c r="AM33" s="891"/>
      <c r="AN33" s="1058"/>
      <c r="AO33" s="891"/>
      <c r="AP33" s="1058"/>
      <c r="AQ33" s="891"/>
      <c r="AR33" s="1058"/>
      <c r="AS33" s="891"/>
      <c r="AT33" s="1058"/>
      <c r="AU33" s="1069"/>
      <c r="AV33" s="825"/>
      <c r="AW33" s="802"/>
      <c r="AX33" s="892"/>
      <c r="AY33" s="419"/>
    </row>
    <row r="34" spans="1:84" ht="14.4" thickBot="1">
      <c r="A34" s="1175"/>
      <c r="B34" s="1167"/>
      <c r="C34" s="1182"/>
      <c r="D34" s="1120"/>
      <c r="E34" s="1214"/>
      <c r="F34" s="1123"/>
      <c r="G34" s="1137"/>
      <c r="H34" s="210"/>
      <c r="I34" s="210"/>
      <c r="J34" s="224" t="s">
        <v>84</v>
      </c>
      <c r="K34" s="799"/>
      <c r="L34" s="1127"/>
      <c r="M34" s="893"/>
      <c r="N34" s="1251"/>
      <c r="O34" s="894"/>
      <c r="P34" s="1307"/>
      <c r="Q34" s="897"/>
      <c r="R34" s="1132"/>
      <c r="S34" s="799"/>
      <c r="T34" s="1127"/>
      <c r="U34" s="799"/>
      <c r="V34" s="1130"/>
      <c r="W34" s="895"/>
      <c r="X34" s="1055"/>
      <c r="Y34" s="809"/>
      <c r="Z34" s="434"/>
      <c r="AA34" s="890"/>
      <c r="AB34" s="1059"/>
      <c r="AC34" s="891"/>
      <c r="AD34" s="1058"/>
      <c r="AE34" s="891"/>
      <c r="AF34" s="1058"/>
      <c r="AG34" s="891"/>
      <c r="AH34" s="1058"/>
      <c r="AI34" s="891"/>
      <c r="AJ34" s="1058"/>
      <c r="AK34" s="891"/>
      <c r="AL34" s="1058"/>
      <c r="AM34" s="898"/>
      <c r="AN34" s="1063"/>
      <c r="AO34" s="899"/>
      <c r="AP34" s="1063"/>
      <c r="AQ34" s="898"/>
      <c r="AR34" s="1063"/>
      <c r="AS34" s="898"/>
      <c r="AT34" s="1063"/>
      <c r="AU34" s="1071"/>
      <c r="AV34" s="900"/>
      <c r="AW34" s="901"/>
      <c r="AX34" s="892"/>
      <c r="AY34" s="419"/>
    </row>
    <row r="35" spans="1:84" ht="14.1">
      <c r="A35" s="1176">
        <v>12</v>
      </c>
      <c r="B35" s="1168" t="s">
        <v>85</v>
      </c>
      <c r="C35" s="1209" t="s">
        <v>86</v>
      </c>
      <c r="D35" s="1212">
        <f>303165+324819.5</f>
        <v>627984.5</v>
      </c>
      <c r="E35" s="728" t="s">
        <v>707</v>
      </c>
      <c r="F35" s="1121" t="s">
        <v>76</v>
      </c>
      <c r="G35" s="1121" t="s">
        <v>87</v>
      </c>
      <c r="H35" s="373"/>
      <c r="I35" s="372"/>
      <c r="J35" s="374" t="s">
        <v>88</v>
      </c>
      <c r="K35" s="665"/>
      <c r="L35" s="1059"/>
      <c r="M35" s="873"/>
      <c r="N35" s="873"/>
      <c r="O35" s="376"/>
      <c r="P35" s="1124"/>
      <c r="Q35" s="902"/>
      <c r="R35" s="1304"/>
      <c r="S35" s="419"/>
      <c r="T35" s="419"/>
      <c r="U35" s="903"/>
      <c r="V35" s="1057"/>
      <c r="W35" s="412"/>
      <c r="X35" s="412"/>
      <c r="Y35" s="419"/>
      <c r="Z35" s="1059"/>
      <c r="AA35" s="904"/>
      <c r="AB35" s="1321"/>
      <c r="AC35" s="905"/>
      <c r="AD35" s="418"/>
      <c r="AE35" s="412"/>
      <c r="AF35" s="418"/>
      <c r="AG35" s="412"/>
      <c r="AH35" s="418"/>
      <c r="AI35" s="412"/>
      <c r="AJ35" s="418"/>
      <c r="AK35" s="412"/>
      <c r="AL35" s="418"/>
      <c r="AM35" s="412"/>
      <c r="AN35" s="418"/>
      <c r="AO35" s="906"/>
      <c r="AP35" s="418"/>
      <c r="AQ35" s="412"/>
      <c r="AR35" s="418"/>
      <c r="AS35" s="412"/>
      <c r="AT35" s="418"/>
      <c r="AU35" s="1076"/>
      <c r="AV35" s="907"/>
      <c r="AW35" s="908"/>
      <c r="AX35" s="909"/>
      <c r="AY35" s="419"/>
    </row>
    <row r="36" spans="1:84" ht="14.1">
      <c r="A36" s="1067"/>
      <c r="B36" s="1157"/>
      <c r="C36" s="1210"/>
      <c r="D36" s="1104"/>
      <c r="E36" s="728" t="s">
        <v>708</v>
      </c>
      <c r="F36" s="1122"/>
      <c r="G36" s="1122"/>
      <c r="H36" s="210"/>
      <c r="I36" s="387"/>
      <c r="J36" s="388" t="s">
        <v>92</v>
      </c>
      <c r="K36" s="666"/>
      <c r="L36" s="1059"/>
      <c r="M36" s="397"/>
      <c r="N36" s="397"/>
      <c r="O36" s="390"/>
      <c r="P36" s="1125"/>
      <c r="Q36" s="902"/>
      <c r="R36" s="1304"/>
      <c r="S36" s="419"/>
      <c r="T36" s="419"/>
      <c r="U36" s="665"/>
      <c r="V36" s="1054"/>
      <c r="W36" s="397"/>
      <c r="X36" s="397"/>
      <c r="Y36" s="391"/>
      <c r="Z36" s="1059"/>
      <c r="AA36" s="910"/>
      <c r="AB36" s="1322"/>
      <c r="AC36" s="912"/>
      <c r="AD36" s="429"/>
      <c r="AE36" s="397"/>
      <c r="AF36" s="429"/>
      <c r="AG36" s="397"/>
      <c r="AH36" s="429"/>
      <c r="AI36" s="397"/>
      <c r="AJ36" s="429"/>
      <c r="AK36" s="397"/>
      <c r="AL36" s="429"/>
      <c r="AM36" s="397"/>
      <c r="AN36" s="429"/>
      <c r="AO36" s="913"/>
      <c r="AP36" s="429"/>
      <c r="AQ36" s="397"/>
      <c r="AR36" s="429"/>
      <c r="AS36" s="397"/>
      <c r="AT36" s="429"/>
      <c r="AU36" s="1069"/>
      <c r="AV36" s="825"/>
      <c r="AW36" s="802"/>
      <c r="AX36" s="914"/>
      <c r="AY36" s="419"/>
    </row>
    <row r="37" spans="1:84" ht="14.1">
      <c r="A37" s="1067"/>
      <c r="B37" s="1157"/>
      <c r="C37" s="1210"/>
      <c r="D37" s="1104"/>
      <c r="E37" s="728" t="s">
        <v>709</v>
      </c>
      <c r="F37" s="1122"/>
      <c r="G37" s="1122"/>
      <c r="H37" s="210" t="s">
        <v>27</v>
      </c>
      <c r="I37" s="387">
        <v>45748</v>
      </c>
      <c r="J37" s="212"/>
      <c r="K37" s="666"/>
      <c r="L37" s="1059"/>
      <c r="M37" s="397"/>
      <c r="N37" s="397"/>
      <c r="O37" s="390"/>
      <c r="P37" s="1125"/>
      <c r="Q37" s="902"/>
      <c r="R37" s="1304"/>
      <c r="S37" s="419"/>
      <c r="T37" s="419"/>
      <c r="U37" s="666"/>
      <c r="V37" s="1054"/>
      <c r="W37" s="397"/>
      <c r="X37" s="397"/>
      <c r="Y37" s="398"/>
      <c r="Z37" s="1059"/>
      <c r="AA37" s="910"/>
      <c r="AB37" s="1322"/>
      <c r="AC37" s="912"/>
      <c r="AD37" s="429"/>
      <c r="AE37" s="397"/>
      <c r="AF37" s="429"/>
      <c r="AG37" s="397"/>
      <c r="AH37" s="429"/>
      <c r="AI37" s="397"/>
      <c r="AJ37" s="429"/>
      <c r="AK37" s="397"/>
      <c r="AL37" s="429"/>
      <c r="AM37" s="397"/>
      <c r="AN37" s="429"/>
      <c r="AO37" s="913"/>
      <c r="AP37" s="429"/>
      <c r="AQ37" s="397"/>
      <c r="AR37" s="429"/>
      <c r="AS37" s="397"/>
      <c r="AT37" s="429"/>
      <c r="AU37" s="1069"/>
      <c r="AV37" s="825"/>
      <c r="AW37" s="802"/>
      <c r="AX37" s="915"/>
      <c r="AY37" s="419"/>
    </row>
    <row r="38" spans="1:84" ht="14.1">
      <c r="A38" s="1067"/>
      <c r="B38" s="1157"/>
      <c r="C38" s="1210"/>
      <c r="D38" s="1104"/>
      <c r="E38" s="724" t="s">
        <v>705</v>
      </c>
      <c r="F38" s="1122"/>
      <c r="G38" s="1122"/>
      <c r="H38" s="210"/>
      <c r="I38" s="387"/>
      <c r="J38" s="229"/>
      <c r="K38" s="666"/>
      <c r="L38" s="1059"/>
      <c r="M38" s="434"/>
      <c r="N38" s="434"/>
      <c r="O38" s="390"/>
      <c r="P38" s="1125"/>
      <c r="Q38" s="902"/>
      <c r="R38" s="1304"/>
      <c r="S38" s="419"/>
      <c r="T38" s="419"/>
      <c r="U38" s="666"/>
      <c r="V38" s="1054"/>
      <c r="W38" s="434"/>
      <c r="X38" s="434"/>
      <c r="Y38" s="432"/>
      <c r="Z38" s="1059"/>
      <c r="AA38" s="910"/>
      <c r="AB38" s="911"/>
      <c r="AC38" s="912"/>
      <c r="AD38" s="438"/>
      <c r="AE38" s="434"/>
      <c r="AF38" s="438"/>
      <c r="AG38" s="434"/>
      <c r="AH38" s="438"/>
      <c r="AI38" s="434"/>
      <c r="AJ38" s="438"/>
      <c r="AK38" s="434"/>
      <c r="AL38" s="438"/>
      <c r="AM38" s="434"/>
      <c r="AN38" s="438"/>
      <c r="AO38" s="913"/>
      <c r="AP38" s="438"/>
      <c r="AQ38" s="434"/>
      <c r="AR38" s="438"/>
      <c r="AS38" s="434"/>
      <c r="AT38" s="438"/>
      <c r="AU38" s="1069"/>
      <c r="AV38" s="825"/>
      <c r="AW38" s="802"/>
      <c r="AX38" s="915"/>
      <c r="AY38" s="419"/>
    </row>
    <row r="39" spans="1:84" ht="14.4" thickBot="1">
      <c r="A39" s="1175"/>
      <c r="B39" s="1169"/>
      <c r="C39" s="1211"/>
      <c r="D39" s="1213"/>
      <c r="E39" s="724" t="s">
        <v>706</v>
      </c>
      <c r="F39" s="1123"/>
      <c r="G39" s="1137"/>
      <c r="H39" s="210" t="s">
        <v>30</v>
      </c>
      <c r="I39" s="400">
        <v>45839</v>
      </c>
      <c r="J39" s="401" t="s">
        <v>93</v>
      </c>
      <c r="K39" s="916"/>
      <c r="L39" s="1062"/>
      <c r="M39" s="917"/>
      <c r="N39" s="917"/>
      <c r="O39" s="403"/>
      <c r="P39" s="1126"/>
      <c r="Q39" s="902"/>
      <c r="R39" s="1305"/>
      <c r="S39" s="918"/>
      <c r="T39" s="918"/>
      <c r="U39" s="916"/>
      <c r="V39" s="1055"/>
      <c r="W39" s="917"/>
      <c r="X39" s="917"/>
      <c r="Y39" s="405"/>
      <c r="Z39" s="1062"/>
      <c r="AA39" s="919"/>
      <c r="AB39" s="920"/>
      <c r="AC39" s="912"/>
      <c r="AD39" s="921"/>
      <c r="AE39" s="917"/>
      <c r="AF39" s="921"/>
      <c r="AG39" s="917"/>
      <c r="AH39" s="921"/>
      <c r="AI39" s="917"/>
      <c r="AJ39" s="921"/>
      <c r="AK39" s="917"/>
      <c r="AL39" s="921"/>
      <c r="AM39" s="917"/>
      <c r="AN39" s="921"/>
      <c r="AO39" s="922"/>
      <c r="AP39" s="921"/>
      <c r="AQ39" s="917"/>
      <c r="AR39" s="921"/>
      <c r="AS39" s="917"/>
      <c r="AT39" s="921"/>
      <c r="AU39" s="1071"/>
      <c r="AV39" s="900"/>
      <c r="AW39" s="901"/>
      <c r="AX39" s="915"/>
      <c r="AY39" s="419"/>
    </row>
    <row r="40" spans="1:84" s="420" customFormat="1" ht="14.1">
      <c r="A40" s="1221">
        <v>13</v>
      </c>
      <c r="B40" s="1178" t="s">
        <v>753</v>
      </c>
      <c r="C40" s="1180" t="s">
        <v>20</v>
      </c>
      <c r="D40" s="1231">
        <f>555736/2</f>
        <v>277868</v>
      </c>
      <c r="E40" s="1214" t="s">
        <v>760</v>
      </c>
      <c r="F40" s="1217" t="s">
        <v>96</v>
      </c>
      <c r="G40" s="1299" t="s">
        <v>87</v>
      </c>
      <c r="H40" s="411"/>
      <c r="I40" s="411" t="s">
        <v>97</v>
      </c>
      <c r="J40" s="412" t="s">
        <v>98</v>
      </c>
      <c r="K40" s="413"/>
      <c r="L40" s="412"/>
      <c r="M40" s="412"/>
      <c r="N40" s="412"/>
      <c r="O40" s="417"/>
      <c r="P40" s="1190"/>
      <c r="Q40" s="414"/>
      <c r="R40" s="415"/>
      <c r="S40" s="416"/>
      <c r="T40" s="1066"/>
      <c r="U40" s="417"/>
      <c r="V40" s="1308"/>
      <c r="W40" s="412"/>
      <c r="X40" s="412"/>
      <c r="Y40" s="412"/>
      <c r="Z40" s="412"/>
      <c r="AA40" s="412"/>
      <c r="AB40" s="418"/>
      <c r="AC40" s="412"/>
      <c r="AD40" s="418"/>
      <c r="AE40" s="412"/>
      <c r="AF40" s="418"/>
      <c r="AG40" s="412"/>
      <c r="AH40" s="418"/>
      <c r="AI40" s="412"/>
      <c r="AJ40" s="418"/>
      <c r="AK40" s="412"/>
      <c r="AL40" s="418"/>
      <c r="AM40" s="412"/>
      <c r="AN40" s="418"/>
      <c r="AO40" s="412"/>
      <c r="AP40" s="418"/>
      <c r="AQ40" s="412"/>
      <c r="AR40" s="418"/>
      <c r="AS40" s="412"/>
      <c r="AT40" s="418"/>
      <c r="AU40" s="1076"/>
      <c r="AV40" s="907"/>
      <c r="AW40" s="908"/>
      <c r="AX40" s="436"/>
      <c r="AY40" s="419"/>
      <c r="AZ40" s="419"/>
      <c r="BA40" s="419"/>
      <c r="BB40" s="419"/>
      <c r="BC40" s="419"/>
      <c r="BD40" s="419"/>
      <c r="BE40" s="419"/>
      <c r="BF40" s="419"/>
      <c r="BG40" s="419"/>
      <c r="BH40" s="419"/>
      <c r="BI40" s="419"/>
      <c r="BJ40" s="419"/>
      <c r="BK40" s="419"/>
      <c r="BL40" s="419"/>
      <c r="BM40" s="419"/>
      <c r="BN40" s="419"/>
      <c r="BO40" s="419"/>
      <c r="BP40" s="419"/>
      <c r="BQ40" s="419"/>
      <c r="BR40" s="419"/>
      <c r="BS40" s="419"/>
      <c r="BT40" s="419"/>
      <c r="BU40" s="419"/>
      <c r="BV40" s="419"/>
      <c r="BW40" s="419"/>
      <c r="BX40" s="419"/>
      <c r="BY40" s="419"/>
      <c r="BZ40" s="419"/>
      <c r="CA40" s="419"/>
      <c r="CB40" s="419"/>
      <c r="CC40" s="419"/>
      <c r="CD40" s="419"/>
      <c r="CE40" s="419"/>
      <c r="CF40" s="419"/>
    </row>
    <row r="41" spans="1:84" s="420" customFormat="1" ht="14.1">
      <c r="A41" s="1222"/>
      <c r="B41" s="1179"/>
      <c r="C41" s="1181"/>
      <c r="D41" s="1232"/>
      <c r="E41" s="1215"/>
      <c r="F41" s="1218"/>
      <c r="G41" s="1300"/>
      <c r="H41" s="422"/>
      <c r="I41" s="423">
        <v>45778</v>
      </c>
      <c r="J41" s="424" t="s">
        <v>99</v>
      </c>
      <c r="K41" s="425"/>
      <c r="L41" s="397"/>
      <c r="M41" s="397"/>
      <c r="N41" s="397"/>
      <c r="O41" s="428"/>
      <c r="P41" s="1059"/>
      <c r="Q41" s="296"/>
      <c r="R41" s="426"/>
      <c r="S41" s="427"/>
      <c r="T41" s="1067"/>
      <c r="U41" s="428"/>
      <c r="V41" s="1309"/>
      <c r="W41" s="397"/>
      <c r="X41" s="397"/>
      <c r="Y41" s="397"/>
      <c r="Z41" s="397"/>
      <c r="AA41" s="397"/>
      <c r="AB41" s="429"/>
      <c r="AC41" s="397"/>
      <c r="AD41" s="429"/>
      <c r="AE41" s="397"/>
      <c r="AF41" s="429"/>
      <c r="AG41" s="397"/>
      <c r="AH41" s="429"/>
      <c r="AI41" s="397"/>
      <c r="AJ41" s="429"/>
      <c r="AK41" s="397"/>
      <c r="AL41" s="429"/>
      <c r="AM41" s="397"/>
      <c r="AN41" s="429"/>
      <c r="AO41" s="397"/>
      <c r="AP41" s="429"/>
      <c r="AQ41" s="397"/>
      <c r="AR41" s="429"/>
      <c r="AS41" s="397"/>
      <c r="AT41" s="429"/>
      <c r="AU41" s="1069"/>
      <c r="AV41" s="825"/>
      <c r="AW41" s="802"/>
      <c r="AX41" s="923"/>
      <c r="AY41" s="419"/>
      <c r="AZ41" s="419"/>
      <c r="BA41" s="419"/>
      <c r="BB41" s="419"/>
      <c r="BC41" s="419"/>
      <c r="BD41" s="419"/>
      <c r="BE41" s="419"/>
      <c r="BF41" s="419"/>
      <c r="BG41" s="419"/>
      <c r="BH41" s="419"/>
      <c r="BI41" s="419"/>
      <c r="BJ41" s="419"/>
      <c r="BK41" s="419"/>
      <c r="BL41" s="419"/>
      <c r="BM41" s="419"/>
      <c r="BN41" s="419"/>
      <c r="BO41" s="419"/>
      <c r="BP41" s="419"/>
      <c r="BQ41" s="419"/>
      <c r="BR41" s="419"/>
      <c r="BS41" s="419"/>
      <c r="BT41" s="419"/>
      <c r="BU41" s="419"/>
      <c r="BV41" s="419"/>
      <c r="BW41" s="419"/>
      <c r="BX41" s="419"/>
      <c r="BY41" s="419"/>
      <c r="BZ41" s="419"/>
      <c r="CA41" s="419"/>
      <c r="CB41" s="419"/>
      <c r="CC41" s="419"/>
      <c r="CD41" s="419"/>
      <c r="CE41" s="419"/>
      <c r="CF41" s="419"/>
    </row>
    <row r="42" spans="1:84" s="420" customFormat="1" ht="14.1">
      <c r="A42" s="1222"/>
      <c r="B42" s="1179"/>
      <c r="C42" s="1181"/>
      <c r="D42" s="1232"/>
      <c r="E42" s="1215"/>
      <c r="F42" s="1218"/>
      <c r="G42" s="1300"/>
      <c r="H42" s="422"/>
      <c r="I42" s="422"/>
      <c r="J42" s="397"/>
      <c r="K42" s="425"/>
      <c r="L42" s="397"/>
      <c r="M42" s="397"/>
      <c r="N42" s="397"/>
      <c r="O42" s="428"/>
      <c r="P42" s="1059"/>
      <c r="Q42" s="296"/>
      <c r="R42" s="426"/>
      <c r="S42" s="427"/>
      <c r="T42" s="1067"/>
      <c r="U42" s="428"/>
      <c r="V42" s="1309"/>
      <c r="W42" s="397"/>
      <c r="X42" s="397"/>
      <c r="Y42" s="397"/>
      <c r="Z42" s="397"/>
      <c r="AA42" s="397"/>
      <c r="AB42" s="429"/>
      <c r="AC42" s="397"/>
      <c r="AD42" s="429"/>
      <c r="AE42" s="397"/>
      <c r="AF42" s="429"/>
      <c r="AG42" s="397"/>
      <c r="AH42" s="429"/>
      <c r="AI42" s="397"/>
      <c r="AJ42" s="429"/>
      <c r="AK42" s="397"/>
      <c r="AL42" s="429"/>
      <c r="AM42" s="397"/>
      <c r="AN42" s="429"/>
      <c r="AO42" s="397"/>
      <c r="AP42" s="429"/>
      <c r="AQ42" s="397"/>
      <c r="AR42" s="429"/>
      <c r="AS42" s="397"/>
      <c r="AT42" s="429"/>
      <c r="AU42" s="1069"/>
      <c r="AV42" s="825"/>
      <c r="AW42" s="802"/>
      <c r="AX42" s="924"/>
      <c r="AY42" s="419"/>
      <c r="AZ42" s="419"/>
      <c r="BA42" s="419"/>
      <c r="BB42" s="419"/>
      <c r="BC42" s="419"/>
      <c r="BD42" s="419"/>
      <c r="BE42" s="419"/>
      <c r="BF42" s="419"/>
      <c r="BG42" s="419"/>
      <c r="BH42" s="419"/>
      <c r="BI42" s="419"/>
      <c r="BJ42" s="419"/>
      <c r="BK42" s="419"/>
      <c r="BL42" s="419"/>
      <c r="BM42" s="419"/>
      <c r="BN42" s="419"/>
      <c r="BO42" s="419"/>
      <c r="BP42" s="419"/>
      <c r="BQ42" s="419"/>
      <c r="BR42" s="419"/>
      <c r="BS42" s="419"/>
      <c r="BT42" s="419"/>
      <c r="BU42" s="419"/>
      <c r="BV42" s="419"/>
      <c r="BW42" s="419"/>
      <c r="BX42" s="419"/>
      <c r="BY42" s="419"/>
      <c r="BZ42" s="419"/>
      <c r="CA42" s="419"/>
      <c r="CB42" s="419"/>
      <c r="CC42" s="419"/>
      <c r="CD42" s="419"/>
      <c r="CE42" s="419"/>
      <c r="CF42" s="419"/>
    </row>
    <row r="43" spans="1:84" s="420" customFormat="1" ht="14.4" thickBot="1">
      <c r="A43" s="1222"/>
      <c r="B43" s="1179"/>
      <c r="C43" s="1181"/>
      <c r="D43" s="1233"/>
      <c r="E43" s="1216"/>
      <c r="F43" s="1218"/>
      <c r="G43" s="1300"/>
      <c r="H43" s="433"/>
      <c r="I43" s="433"/>
      <c r="J43" s="434"/>
      <c r="K43" s="435"/>
      <c r="L43" s="434"/>
      <c r="M43" s="434"/>
      <c r="N43" s="434"/>
      <c r="O43" s="428"/>
      <c r="P43" s="1059"/>
      <c r="Q43" s="436"/>
      <c r="R43" s="437"/>
      <c r="S43" s="427"/>
      <c r="T43" s="1067"/>
      <c r="U43" s="428"/>
      <c r="V43" s="1309"/>
      <c r="W43" s="434"/>
      <c r="X43" s="434"/>
      <c r="Y43" s="434"/>
      <c r="Z43" s="434"/>
      <c r="AA43" s="434"/>
      <c r="AB43" s="438"/>
      <c r="AC43" s="434"/>
      <c r="AD43" s="438"/>
      <c r="AE43" s="434"/>
      <c r="AF43" s="438"/>
      <c r="AG43" s="434"/>
      <c r="AH43" s="438"/>
      <c r="AI43" s="434"/>
      <c r="AJ43" s="438"/>
      <c r="AK43" s="434"/>
      <c r="AL43" s="438"/>
      <c r="AM43" s="434"/>
      <c r="AN43" s="438"/>
      <c r="AO43" s="434"/>
      <c r="AP43" s="438"/>
      <c r="AQ43" s="434"/>
      <c r="AR43" s="438"/>
      <c r="AS43" s="434"/>
      <c r="AT43" s="438"/>
      <c r="AU43" s="1069"/>
      <c r="AV43" s="825"/>
      <c r="AW43" s="802"/>
      <c r="AX43" s="924"/>
      <c r="AY43" s="419"/>
      <c r="AZ43" s="419"/>
      <c r="BA43" s="419"/>
      <c r="BB43" s="419"/>
      <c r="BC43" s="419"/>
      <c r="BD43" s="419"/>
      <c r="BE43" s="419"/>
      <c r="BF43" s="419"/>
      <c r="BG43" s="419"/>
      <c r="BH43" s="419"/>
      <c r="BI43" s="419"/>
      <c r="BJ43" s="419"/>
      <c r="BK43" s="419"/>
      <c r="BL43" s="419"/>
      <c r="BM43" s="419"/>
      <c r="BN43" s="419"/>
      <c r="BO43" s="419"/>
      <c r="BP43" s="419"/>
      <c r="BQ43" s="419"/>
      <c r="BR43" s="419"/>
      <c r="BS43" s="419"/>
      <c r="BT43" s="419"/>
      <c r="BU43" s="419"/>
      <c r="BV43" s="419"/>
      <c r="BW43" s="419"/>
      <c r="BX43" s="419"/>
      <c r="BY43" s="419"/>
      <c r="BZ43" s="419"/>
      <c r="CA43" s="419"/>
      <c r="CB43" s="419"/>
      <c r="CC43" s="419"/>
      <c r="CD43" s="419"/>
      <c r="CE43" s="419"/>
      <c r="CF43" s="419"/>
    </row>
    <row r="44" spans="1:84" ht="14.1" thickBot="1">
      <c r="A44" s="1158">
        <v>14</v>
      </c>
      <c r="B44" s="1156" t="s">
        <v>100</v>
      </c>
      <c r="C44" s="1219" t="s">
        <v>765</v>
      </c>
      <c r="D44" s="1105">
        <f>415230*2</f>
        <v>830460</v>
      </c>
      <c r="E44" s="1191" t="s">
        <v>725</v>
      </c>
      <c r="F44" s="1060" t="s">
        <v>21</v>
      </c>
      <c r="G44" s="441" t="s">
        <v>103</v>
      </c>
      <c r="H44" s="441" t="s">
        <v>23</v>
      </c>
      <c r="I44" s="442">
        <v>45673</v>
      </c>
      <c r="J44" s="443" t="s">
        <v>761</v>
      </c>
      <c r="K44" s="925"/>
      <c r="L44" s="1057"/>
      <c r="M44" s="443"/>
      <c r="N44" s="443"/>
      <c r="O44" s="926"/>
      <c r="P44" s="1296"/>
      <c r="Q44" s="446"/>
      <c r="R44" s="1288"/>
      <c r="S44" s="927"/>
      <c r="T44" s="1291"/>
      <c r="U44" s="928"/>
      <c r="V44" s="1060"/>
      <c r="W44" s="929"/>
      <c r="X44" s="1060"/>
      <c r="Y44" s="443"/>
      <c r="Z44" s="443"/>
      <c r="AA44" s="929"/>
      <c r="AB44" s="1060"/>
      <c r="AC44" s="930"/>
      <c r="AD44" s="1057"/>
      <c r="AE44" s="443"/>
      <c r="AF44" s="443"/>
      <c r="AG44" s="443"/>
      <c r="AH44" s="443"/>
      <c r="AI44" s="443"/>
      <c r="AJ44" s="443"/>
      <c r="AK44" s="443"/>
      <c r="AL44" s="443"/>
      <c r="AM44" s="443"/>
      <c r="AN44" s="443"/>
      <c r="AO44" s="443"/>
      <c r="AP44" s="443"/>
      <c r="AQ44" s="443"/>
      <c r="AR44" s="443"/>
      <c r="AS44" s="443"/>
      <c r="AT44" s="443"/>
      <c r="AU44" s="1068"/>
      <c r="AV44" s="818"/>
      <c r="AW44" s="837"/>
      <c r="AX44" s="838"/>
      <c r="AY44" s="419"/>
    </row>
    <row r="45" spans="1:84" ht="14.1">
      <c r="A45" s="1159"/>
      <c r="B45" s="1157"/>
      <c r="C45" s="1210"/>
      <c r="D45" s="1106"/>
      <c r="E45" s="1192"/>
      <c r="F45" s="1059"/>
      <c r="G45" s="421"/>
      <c r="H45" s="421" t="s">
        <v>25</v>
      </c>
      <c r="I45" s="449">
        <v>45748</v>
      </c>
      <c r="J45" s="450" t="s">
        <v>106</v>
      </c>
      <c r="K45" s="666"/>
      <c r="L45" s="1054"/>
      <c r="M45" s="397"/>
      <c r="N45" s="397"/>
      <c r="O45" s="931"/>
      <c r="P45" s="1297"/>
      <c r="Q45" s="453"/>
      <c r="R45" s="1059"/>
      <c r="S45" s="932"/>
      <c r="T45" s="1059"/>
      <c r="U45" s="933"/>
      <c r="V45" s="1067"/>
      <c r="W45" s="428"/>
      <c r="X45" s="1059"/>
      <c r="Y45" s="397"/>
      <c r="Z45" s="397"/>
      <c r="AA45" s="428"/>
      <c r="AB45" s="1059"/>
      <c r="AC45" s="417"/>
      <c r="AD45" s="1054"/>
      <c r="AE45" s="397"/>
      <c r="AF45" s="397"/>
      <c r="AG45" s="397"/>
      <c r="AH45" s="397"/>
      <c r="AI45" s="397"/>
      <c r="AJ45" s="397"/>
      <c r="AK45" s="397"/>
      <c r="AL45" s="397"/>
      <c r="AM45" s="397"/>
      <c r="AN45" s="397"/>
      <c r="AO45" s="397"/>
      <c r="AP45" s="397"/>
      <c r="AQ45" s="397"/>
      <c r="AR45" s="397"/>
      <c r="AS45" s="397"/>
      <c r="AT45" s="397"/>
      <c r="AU45" s="1069"/>
      <c r="AV45" s="825"/>
      <c r="AW45" s="802"/>
      <c r="AX45" s="804"/>
      <c r="AY45" s="419"/>
    </row>
    <row r="46" spans="1:84">
      <c r="A46" s="1159"/>
      <c r="B46" s="1157"/>
      <c r="C46" s="1210"/>
      <c r="D46" s="1106"/>
      <c r="E46" s="1192"/>
      <c r="F46" s="1059"/>
      <c r="G46" s="421" t="s">
        <v>107</v>
      </c>
      <c r="H46" s="421" t="s">
        <v>27</v>
      </c>
      <c r="I46" s="449">
        <v>45839</v>
      </c>
      <c r="J46" s="397" t="s">
        <v>108</v>
      </c>
      <c r="K46" s="666"/>
      <c r="L46" s="1054"/>
      <c r="M46" s="397"/>
      <c r="N46" s="397"/>
      <c r="O46" s="931"/>
      <c r="P46" s="1297"/>
      <c r="Q46" s="453"/>
      <c r="R46" s="1059"/>
      <c r="S46" s="934"/>
      <c r="T46" s="1059"/>
      <c r="U46" s="933"/>
      <c r="V46" s="1067"/>
      <c r="W46" s="428"/>
      <c r="X46" s="1059"/>
      <c r="Y46" s="397"/>
      <c r="Z46" s="397"/>
      <c r="AA46" s="428"/>
      <c r="AB46" s="1059"/>
      <c r="AC46" s="428"/>
      <c r="AD46" s="1054"/>
      <c r="AE46" s="397"/>
      <c r="AF46" s="397"/>
      <c r="AG46" s="397"/>
      <c r="AH46" s="397"/>
      <c r="AI46" s="397"/>
      <c r="AJ46" s="397"/>
      <c r="AK46" s="397"/>
      <c r="AL46" s="397"/>
      <c r="AM46" s="397"/>
      <c r="AN46" s="397"/>
      <c r="AO46" s="397"/>
      <c r="AP46" s="397"/>
      <c r="AQ46" s="397"/>
      <c r="AR46" s="397"/>
      <c r="AS46" s="397"/>
      <c r="AT46" s="397"/>
      <c r="AU46" s="1069"/>
      <c r="AV46" s="825"/>
      <c r="AW46" s="802"/>
      <c r="AX46" s="806"/>
      <c r="AY46" s="419"/>
    </row>
    <row r="47" spans="1:84" ht="14.1" thickBot="1">
      <c r="A47" s="1159"/>
      <c r="B47" s="1157"/>
      <c r="C47" s="1210"/>
      <c r="D47" s="1107"/>
      <c r="E47" s="1295"/>
      <c r="F47" s="1059"/>
      <c r="G47" s="421"/>
      <c r="H47" s="421" t="s">
        <v>30</v>
      </c>
      <c r="I47" s="457">
        <v>45931</v>
      </c>
      <c r="J47" s="458" t="s">
        <v>109</v>
      </c>
      <c r="K47" s="666"/>
      <c r="L47" s="1054"/>
      <c r="M47" s="434"/>
      <c r="N47" s="434"/>
      <c r="O47" s="931"/>
      <c r="P47" s="1298"/>
      <c r="Q47" s="453"/>
      <c r="R47" s="1059"/>
      <c r="S47" s="934"/>
      <c r="T47" s="1059"/>
      <c r="U47" s="933"/>
      <c r="V47" s="1067"/>
      <c r="W47" s="428"/>
      <c r="X47" s="1059"/>
      <c r="Y47" s="434"/>
      <c r="Z47" s="434"/>
      <c r="AA47" s="428"/>
      <c r="AB47" s="1059"/>
      <c r="AC47" s="428"/>
      <c r="AD47" s="1055"/>
      <c r="AE47" s="434"/>
      <c r="AF47" s="434"/>
      <c r="AG47" s="434"/>
      <c r="AH47" s="434"/>
      <c r="AI47" s="434"/>
      <c r="AJ47" s="434"/>
      <c r="AK47" s="434"/>
      <c r="AL47" s="434"/>
      <c r="AM47" s="434"/>
      <c r="AN47" s="434"/>
      <c r="AO47" s="434"/>
      <c r="AP47" s="434"/>
      <c r="AQ47" s="434"/>
      <c r="AR47" s="434"/>
      <c r="AS47" s="434"/>
      <c r="AT47" s="434"/>
      <c r="AU47" s="1069"/>
      <c r="AV47" s="825"/>
      <c r="AW47" s="802"/>
      <c r="AX47" s="806"/>
      <c r="AY47" s="419"/>
    </row>
    <row r="48" spans="1:84" ht="14.4" thickBot="1">
      <c r="A48" s="1158">
        <v>15</v>
      </c>
      <c r="B48" s="1156" t="s">
        <v>110</v>
      </c>
      <c r="C48" s="1219" t="s">
        <v>774</v>
      </c>
      <c r="D48" s="1105">
        <f>916155+537664</f>
        <v>1453819</v>
      </c>
      <c r="E48" s="1191" t="s">
        <v>725</v>
      </c>
      <c r="F48" s="1301" t="s">
        <v>21</v>
      </c>
      <c r="G48" s="459" t="s">
        <v>103</v>
      </c>
      <c r="H48" s="460" t="s">
        <v>23</v>
      </c>
      <c r="I48" s="442">
        <v>45673</v>
      </c>
      <c r="J48" s="443" t="s">
        <v>761</v>
      </c>
      <c r="K48" s="925"/>
      <c r="L48" s="935"/>
      <c r="M48" s="443"/>
      <c r="N48" s="443"/>
      <c r="O48" s="443"/>
      <c r="P48" s="936"/>
      <c r="Q48" s="579"/>
      <c r="R48" s="579"/>
      <c r="S48" s="927"/>
      <c r="T48" s="1291"/>
      <c r="U48" s="928"/>
      <c r="V48" s="1060"/>
      <c r="W48" s="929"/>
      <c r="X48" s="1060"/>
      <c r="Y48" s="443"/>
      <c r="Z48" s="443"/>
      <c r="AA48" s="929"/>
      <c r="AB48" s="1060"/>
      <c r="AC48" s="930"/>
      <c r="AD48" s="1060"/>
      <c r="AE48" s="443"/>
      <c r="AF48" s="443"/>
      <c r="AG48" s="443"/>
      <c r="AH48" s="443"/>
      <c r="AI48" s="443"/>
      <c r="AJ48" s="443"/>
      <c r="AK48" s="443"/>
      <c r="AL48" s="443"/>
      <c r="AM48" s="443"/>
      <c r="AN48" s="443"/>
      <c r="AO48" s="443"/>
      <c r="AP48" s="443"/>
      <c r="AQ48" s="443"/>
      <c r="AR48" s="443"/>
      <c r="AS48" s="443"/>
      <c r="AT48" s="443"/>
      <c r="AU48" s="1068"/>
      <c r="AV48" s="818"/>
      <c r="AW48" s="837"/>
      <c r="AX48" s="838"/>
      <c r="AY48" s="419"/>
    </row>
    <row r="49" spans="1:56" ht="14.1">
      <c r="A49" s="1159"/>
      <c r="B49" s="1157"/>
      <c r="C49" s="1210"/>
      <c r="D49" s="1106"/>
      <c r="E49" s="1192"/>
      <c r="F49" s="1302"/>
      <c r="G49" s="463"/>
      <c r="H49" s="464" t="s">
        <v>25</v>
      </c>
      <c r="I49" s="449">
        <v>45748</v>
      </c>
      <c r="J49" s="450" t="s">
        <v>113</v>
      </c>
      <c r="K49" s="666"/>
      <c r="L49" s="937"/>
      <c r="M49" s="397"/>
      <c r="N49" s="397"/>
      <c r="O49" s="397"/>
      <c r="P49" s="891"/>
      <c r="Q49" s="419"/>
      <c r="R49" s="419"/>
      <c r="S49" s="453"/>
      <c r="T49" s="1059"/>
      <c r="U49" s="933"/>
      <c r="V49" s="1067"/>
      <c r="W49" s="428"/>
      <c r="X49" s="1059"/>
      <c r="Y49" s="397"/>
      <c r="Z49" s="397"/>
      <c r="AA49" s="428"/>
      <c r="AB49" s="1059"/>
      <c r="AC49" s="417"/>
      <c r="AD49" s="1059"/>
      <c r="AE49" s="397"/>
      <c r="AF49" s="397"/>
      <c r="AG49" s="397"/>
      <c r="AH49" s="397"/>
      <c r="AI49" s="397"/>
      <c r="AJ49" s="397"/>
      <c r="AK49" s="397"/>
      <c r="AL49" s="397"/>
      <c r="AM49" s="397"/>
      <c r="AN49" s="397"/>
      <c r="AO49" s="397"/>
      <c r="AP49" s="397"/>
      <c r="AQ49" s="397"/>
      <c r="AR49" s="397"/>
      <c r="AS49" s="397"/>
      <c r="AT49" s="397"/>
      <c r="AU49" s="1069"/>
      <c r="AV49" s="825"/>
      <c r="AW49" s="802"/>
      <c r="AX49" s="938"/>
      <c r="AY49" s="419"/>
    </row>
    <row r="50" spans="1:56" ht="14.1">
      <c r="A50" s="1159"/>
      <c r="B50" s="1157"/>
      <c r="C50" s="1210"/>
      <c r="D50" s="1106"/>
      <c r="E50" s="1192"/>
      <c r="F50" s="1302"/>
      <c r="G50" s="463"/>
      <c r="H50" s="464"/>
      <c r="I50" s="449"/>
      <c r="J50" s="450"/>
      <c r="K50" s="666"/>
      <c r="L50" s="937"/>
      <c r="M50" s="397"/>
      <c r="N50" s="397"/>
      <c r="O50" s="397"/>
      <c r="P50" s="891"/>
      <c r="Q50" s="419"/>
      <c r="R50" s="419"/>
      <c r="S50" s="453"/>
      <c r="T50" s="1059"/>
      <c r="U50" s="933"/>
      <c r="V50" s="1067"/>
      <c r="W50" s="428"/>
      <c r="X50" s="1059"/>
      <c r="Y50" s="397"/>
      <c r="Z50" s="397"/>
      <c r="AA50" s="428"/>
      <c r="AB50" s="1059"/>
      <c r="AC50" s="428"/>
      <c r="AD50" s="1059"/>
      <c r="AE50" s="397"/>
      <c r="AF50" s="397"/>
      <c r="AG50" s="397"/>
      <c r="AH50" s="397"/>
      <c r="AI50" s="397"/>
      <c r="AJ50" s="397"/>
      <c r="AK50" s="397"/>
      <c r="AL50" s="397"/>
      <c r="AM50" s="397"/>
      <c r="AN50" s="397"/>
      <c r="AO50" s="397"/>
      <c r="AP50" s="397"/>
      <c r="AQ50" s="397"/>
      <c r="AR50" s="397"/>
      <c r="AS50" s="397"/>
      <c r="AT50" s="397"/>
      <c r="AU50" s="1069"/>
      <c r="AV50" s="825"/>
      <c r="AW50" s="802"/>
      <c r="AX50" s="806"/>
      <c r="AY50" s="419"/>
    </row>
    <row r="51" spans="1:56" ht="14.1">
      <c r="A51" s="1159"/>
      <c r="B51" s="1157"/>
      <c r="C51" s="1210"/>
      <c r="D51" s="1106"/>
      <c r="E51" s="1192"/>
      <c r="F51" s="1302"/>
      <c r="G51" s="463" t="s">
        <v>107</v>
      </c>
      <c r="H51" s="464" t="s">
        <v>23</v>
      </c>
      <c r="I51" s="449">
        <v>45839</v>
      </c>
      <c r="J51" s="397"/>
      <c r="K51" s="666"/>
      <c r="L51" s="937"/>
      <c r="M51" s="397"/>
      <c r="N51" s="397"/>
      <c r="O51" s="397"/>
      <c r="P51" s="891"/>
      <c r="Q51" s="419"/>
      <c r="R51" s="419"/>
      <c r="S51" s="453"/>
      <c r="T51" s="1059"/>
      <c r="U51" s="933"/>
      <c r="V51" s="1067"/>
      <c r="W51" s="428"/>
      <c r="X51" s="1059"/>
      <c r="Y51" s="397"/>
      <c r="Z51" s="397"/>
      <c r="AA51" s="428"/>
      <c r="AB51" s="1059"/>
      <c r="AC51" s="428"/>
      <c r="AD51" s="1059"/>
      <c r="AE51" s="397"/>
      <c r="AF51" s="397"/>
      <c r="AG51" s="397"/>
      <c r="AH51" s="397"/>
      <c r="AI51" s="397"/>
      <c r="AJ51" s="397"/>
      <c r="AK51" s="397"/>
      <c r="AL51" s="397"/>
      <c r="AM51" s="397"/>
      <c r="AN51" s="397"/>
      <c r="AO51" s="397"/>
      <c r="AP51" s="397"/>
      <c r="AQ51" s="397"/>
      <c r="AR51" s="397"/>
      <c r="AS51" s="397"/>
      <c r="AT51" s="397"/>
      <c r="AU51" s="1069"/>
      <c r="AV51" s="825"/>
      <c r="AW51" s="802"/>
      <c r="AX51" s="806"/>
      <c r="AY51" s="419"/>
    </row>
    <row r="52" spans="1:56" ht="14.4" thickBot="1">
      <c r="A52" s="1160"/>
      <c r="B52" s="1230"/>
      <c r="C52" s="1220"/>
      <c r="D52" s="1194"/>
      <c r="E52" s="1193"/>
      <c r="F52" s="1303"/>
      <c r="G52" s="468"/>
      <c r="H52" s="410" t="s">
        <v>25</v>
      </c>
      <c r="I52" s="457">
        <v>45931</v>
      </c>
      <c r="J52" s="458" t="s">
        <v>114</v>
      </c>
      <c r="K52" s="666"/>
      <c r="L52" s="937"/>
      <c r="M52" s="434"/>
      <c r="N52" s="434"/>
      <c r="O52" s="434"/>
      <c r="P52" s="891"/>
      <c r="Q52" s="419"/>
      <c r="R52" s="419"/>
      <c r="S52" s="453"/>
      <c r="T52" s="1059"/>
      <c r="U52" s="933"/>
      <c r="V52" s="1067"/>
      <c r="W52" s="428"/>
      <c r="X52" s="1059"/>
      <c r="Y52" s="434"/>
      <c r="Z52" s="434"/>
      <c r="AA52" s="428"/>
      <c r="AB52" s="1059"/>
      <c r="AC52" s="428"/>
      <c r="AD52" s="1059"/>
      <c r="AE52" s="434"/>
      <c r="AF52" s="434"/>
      <c r="AG52" s="434"/>
      <c r="AH52" s="434"/>
      <c r="AI52" s="434"/>
      <c r="AJ52" s="434"/>
      <c r="AK52" s="434"/>
      <c r="AL52" s="434"/>
      <c r="AM52" s="434"/>
      <c r="AN52" s="434"/>
      <c r="AO52" s="434"/>
      <c r="AP52" s="434"/>
      <c r="AQ52" s="434"/>
      <c r="AR52" s="434"/>
      <c r="AS52" s="434"/>
      <c r="AT52" s="434"/>
      <c r="AU52" s="1069"/>
      <c r="AV52" s="825"/>
      <c r="AW52" s="802"/>
      <c r="AX52" s="806"/>
      <c r="AY52" s="419"/>
    </row>
    <row r="53" spans="1:56" ht="14.4">
      <c r="A53" s="1158">
        <v>17</v>
      </c>
      <c r="B53" s="1156" t="s">
        <v>125</v>
      </c>
      <c r="C53" s="1219" t="s">
        <v>126</v>
      </c>
      <c r="D53" s="1105">
        <v>174103</v>
      </c>
      <c r="E53" s="1239"/>
      <c r="F53" s="474"/>
      <c r="G53" s="474"/>
      <c r="H53" s="474"/>
      <c r="I53" s="474"/>
      <c r="J53" s="443" t="s">
        <v>127</v>
      </c>
      <c r="K53" s="941"/>
      <c r="L53" s="443"/>
      <c r="M53" s="476"/>
      <c r="N53" s="1236"/>
      <c r="O53" s="443"/>
      <c r="P53" s="469"/>
      <c r="Q53" s="939"/>
      <c r="R53" s="1190"/>
      <c r="S53" s="939"/>
      <c r="T53" s="1190"/>
      <c r="U53" s="443"/>
      <c r="V53" s="443"/>
      <c r="W53" s="443"/>
      <c r="X53" s="443"/>
      <c r="Y53" s="851"/>
      <c r="Z53" s="1057" t="s">
        <v>775</v>
      </c>
      <c r="AA53" s="443"/>
      <c r="AB53" s="443"/>
      <c r="AC53" s="443"/>
      <c r="AD53" s="443"/>
      <c r="AE53" s="579"/>
      <c r="AF53" s="1060"/>
      <c r="AG53" s="443"/>
      <c r="AH53" s="443"/>
      <c r="AI53" s="443"/>
      <c r="AJ53" s="443"/>
      <c r="AK53" s="579"/>
      <c r="AL53" s="1064"/>
      <c r="AM53" s="942"/>
      <c r="AN53" s="935"/>
      <c r="AO53" s="443"/>
      <c r="AP53" s="443"/>
      <c r="AQ53" s="943"/>
      <c r="AR53" s="1064"/>
      <c r="AS53" s="443"/>
      <c r="AT53" s="1064"/>
      <c r="AU53" s="1068"/>
      <c r="AV53" s="818"/>
      <c r="AW53" s="837"/>
      <c r="AX53" s="838"/>
      <c r="AY53" s="419"/>
      <c r="BC53"/>
      <c r="BD53"/>
    </row>
    <row r="54" spans="1:56" ht="14.4">
      <c r="A54" s="1159"/>
      <c r="B54" s="1157"/>
      <c r="C54" s="1210"/>
      <c r="D54" s="1106"/>
      <c r="E54" s="1240"/>
      <c r="F54" s="479"/>
      <c r="G54" s="479"/>
      <c r="H54" s="479"/>
      <c r="I54" s="479"/>
      <c r="J54" s="480" t="s">
        <v>132</v>
      </c>
      <c r="K54" s="425"/>
      <c r="L54" s="397"/>
      <c r="M54" s="482"/>
      <c r="N54" s="1237"/>
      <c r="O54" s="397"/>
      <c r="P54" s="397"/>
      <c r="Q54" s="666"/>
      <c r="R54" s="1059"/>
      <c r="S54" s="666"/>
      <c r="T54" s="1059"/>
      <c r="U54" s="397"/>
      <c r="V54" s="397"/>
      <c r="W54" s="397"/>
      <c r="X54" s="397"/>
      <c r="Y54" s="665"/>
      <c r="Z54" s="1054"/>
      <c r="AA54" s="397"/>
      <c r="AB54" s="397"/>
      <c r="AC54" s="397"/>
      <c r="AD54" s="397"/>
      <c r="AE54" s="665"/>
      <c r="AF54" s="1059"/>
      <c r="AG54" s="397"/>
      <c r="AH54" s="397"/>
      <c r="AI54" s="397"/>
      <c r="AJ54" s="397"/>
      <c r="AK54" s="944"/>
      <c r="AL54" s="1065"/>
      <c r="AM54" s="945"/>
      <c r="AN54" s="428"/>
      <c r="AO54" s="397"/>
      <c r="AP54" s="397"/>
      <c r="AQ54" s="946"/>
      <c r="AR54" s="1065"/>
      <c r="AS54" s="397"/>
      <c r="AT54" s="1065"/>
      <c r="AU54" s="1069"/>
      <c r="AV54" s="825"/>
      <c r="AW54" s="802"/>
      <c r="AX54" s="826"/>
      <c r="AY54" s="419"/>
      <c r="BC54"/>
      <c r="BD54"/>
    </row>
    <row r="55" spans="1:56" ht="14.4">
      <c r="A55" s="1159"/>
      <c r="B55" s="1157"/>
      <c r="C55" s="1210"/>
      <c r="D55" s="1106"/>
      <c r="E55" s="1240"/>
      <c r="F55" s="479"/>
      <c r="G55" s="479"/>
      <c r="H55" s="479"/>
      <c r="I55" s="479"/>
      <c r="J55" s="486" t="s">
        <v>133</v>
      </c>
      <c r="K55" s="425"/>
      <c r="L55" s="397"/>
      <c r="M55" s="482"/>
      <c r="N55" s="1237"/>
      <c r="O55" s="397"/>
      <c r="P55" s="397"/>
      <c r="Q55" s="666"/>
      <c r="R55" s="1059"/>
      <c r="S55" s="666"/>
      <c r="T55" s="1059"/>
      <c r="U55" s="397"/>
      <c r="V55" s="397"/>
      <c r="W55" s="397"/>
      <c r="X55" s="397"/>
      <c r="Y55" s="666"/>
      <c r="Z55" s="1054"/>
      <c r="AA55" s="397"/>
      <c r="AB55" s="397"/>
      <c r="AC55" s="397"/>
      <c r="AD55" s="397"/>
      <c r="AE55" s="666"/>
      <c r="AF55" s="1059"/>
      <c r="AG55" s="397"/>
      <c r="AH55" s="397"/>
      <c r="AI55" s="397"/>
      <c r="AJ55" s="397"/>
      <c r="AK55" s="946"/>
      <c r="AL55" s="1065"/>
      <c r="AM55" s="428"/>
      <c r="AN55" s="428"/>
      <c r="AO55" s="397"/>
      <c r="AP55" s="397"/>
      <c r="AQ55" s="946"/>
      <c r="AR55" s="1065"/>
      <c r="AS55" s="397"/>
      <c r="AT55" s="1065"/>
      <c r="AU55" s="1069"/>
      <c r="AV55" s="825"/>
      <c r="AW55" s="802"/>
      <c r="AX55" s="806"/>
      <c r="AY55" s="419"/>
      <c r="BC55"/>
      <c r="BD55"/>
    </row>
    <row r="56" spans="1:56" ht="14.7" thickBot="1">
      <c r="A56" s="1159"/>
      <c r="B56" s="1157"/>
      <c r="C56" s="1210"/>
      <c r="D56" s="1107"/>
      <c r="E56" s="1241"/>
      <c r="F56" s="488"/>
      <c r="G56" s="488"/>
      <c r="H56" s="488"/>
      <c r="I56" s="488" t="s">
        <v>134</v>
      </c>
      <c r="J56" s="229"/>
      <c r="K56" s="435"/>
      <c r="L56" s="434"/>
      <c r="M56" s="482"/>
      <c r="N56" s="1237"/>
      <c r="O56" s="434"/>
      <c r="P56" s="434"/>
      <c r="Q56" s="666"/>
      <c r="R56" s="1059"/>
      <c r="S56" s="666"/>
      <c r="T56" s="1059"/>
      <c r="U56" s="434"/>
      <c r="V56" s="434"/>
      <c r="W56" s="434"/>
      <c r="X56" s="434"/>
      <c r="Y56" s="666"/>
      <c r="Z56" s="1055"/>
      <c r="AA56" s="434"/>
      <c r="AB56" s="434"/>
      <c r="AC56" s="434"/>
      <c r="AD56" s="434"/>
      <c r="AE56" s="666"/>
      <c r="AF56" s="1061"/>
      <c r="AG56" s="434"/>
      <c r="AH56" s="434"/>
      <c r="AI56" s="434"/>
      <c r="AJ56" s="434"/>
      <c r="AK56" s="946"/>
      <c r="AL56" s="1065"/>
      <c r="AM56" s="428"/>
      <c r="AN56" s="428"/>
      <c r="AO56" s="434"/>
      <c r="AP56" s="434"/>
      <c r="AQ56" s="946"/>
      <c r="AR56" s="1065"/>
      <c r="AS56" s="434"/>
      <c r="AT56" s="1065"/>
      <c r="AU56" s="1069"/>
      <c r="AV56" s="825"/>
      <c r="AW56" s="802"/>
      <c r="AX56" s="806"/>
      <c r="AY56" s="947"/>
      <c r="BC56"/>
      <c r="BD56"/>
    </row>
    <row r="57" spans="1:56" ht="14.4">
      <c r="A57" s="1148">
        <v>18</v>
      </c>
      <c r="B57" s="1152" t="s">
        <v>135</v>
      </c>
      <c r="C57" s="1226" t="s">
        <v>49</v>
      </c>
      <c r="D57" s="1108">
        <v>0</v>
      </c>
      <c r="E57" s="1238" t="s">
        <v>136</v>
      </c>
      <c r="F57" s="1289" t="s">
        <v>21</v>
      </c>
      <c r="G57" s="1320" t="s">
        <v>103</v>
      </c>
      <c r="H57" s="490" t="s">
        <v>23</v>
      </c>
      <c r="I57" s="491">
        <v>45449</v>
      </c>
      <c r="J57" s="492" t="s">
        <v>137</v>
      </c>
      <c r="K57" s="948"/>
      <c r="L57" s="949"/>
      <c r="M57" s="949"/>
      <c r="N57" s="950"/>
      <c r="O57" s="528"/>
      <c r="P57" s="1291"/>
      <c r="Q57" s="949"/>
      <c r="R57" s="949"/>
      <c r="S57" s="949"/>
      <c r="T57" s="950"/>
      <c r="U57" s="296"/>
      <c r="V57" s="1293"/>
      <c r="W57" s="951"/>
      <c r="X57" s="949"/>
      <c r="Y57" s="851"/>
      <c r="Z57" s="1057"/>
      <c r="AA57" s="949"/>
      <c r="AB57" s="949"/>
      <c r="AC57" s="579"/>
      <c r="AD57" s="579"/>
      <c r="AE57" s="949"/>
      <c r="AF57" s="949"/>
      <c r="AG57" s="949"/>
      <c r="AH57" s="949"/>
      <c r="AI57" s="949"/>
      <c r="AJ57" s="949"/>
      <c r="AK57" s="949"/>
      <c r="AL57" s="949"/>
      <c r="AM57" s="949"/>
      <c r="AN57" s="949"/>
      <c r="AO57" s="949"/>
      <c r="AP57" s="949"/>
      <c r="AQ57" s="949"/>
      <c r="AR57" s="949"/>
      <c r="AS57" s="949"/>
      <c r="AT57" s="949"/>
      <c r="AU57" s="1068"/>
      <c r="AV57" s="818"/>
      <c r="AW57" s="837"/>
      <c r="AX57" s="838"/>
      <c r="AY57" s="947"/>
    </row>
    <row r="58" spans="1:56" ht="14.4">
      <c r="A58" s="1149"/>
      <c r="B58" s="1153"/>
      <c r="C58" s="1227"/>
      <c r="D58" s="1109"/>
      <c r="E58" s="1235"/>
      <c r="F58" s="1215"/>
      <c r="G58" s="1314"/>
      <c r="H58" s="497" t="s">
        <v>25</v>
      </c>
      <c r="I58" s="498">
        <v>45901</v>
      </c>
      <c r="J58" s="189" t="s">
        <v>140</v>
      </c>
      <c r="K58" s="952"/>
      <c r="L58" s="296"/>
      <c r="M58" s="296"/>
      <c r="N58" s="296"/>
      <c r="O58" s="428"/>
      <c r="P58" s="1059"/>
      <c r="Q58" s="296"/>
      <c r="R58" s="296"/>
      <c r="S58" s="296"/>
      <c r="T58" s="953"/>
      <c r="U58" s="502"/>
      <c r="V58" s="1293"/>
      <c r="W58" s="531"/>
      <c r="X58" s="296"/>
      <c r="Y58" s="855"/>
      <c r="Z58" s="1054"/>
      <c r="AA58" s="296"/>
      <c r="AB58" s="296"/>
      <c r="AC58" s="419"/>
      <c r="AD58" s="419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  <c r="AO58" s="296"/>
      <c r="AP58" s="296"/>
      <c r="AQ58" s="296"/>
      <c r="AR58" s="296"/>
      <c r="AS58" s="296"/>
      <c r="AT58" s="296"/>
      <c r="AU58" s="1069"/>
      <c r="AV58" s="825"/>
      <c r="AW58" s="802"/>
      <c r="AX58" s="804"/>
      <c r="AY58" s="947"/>
    </row>
    <row r="59" spans="1:56" ht="14.4">
      <c r="A59" s="1149"/>
      <c r="B59" s="1153"/>
      <c r="C59" s="1227"/>
      <c r="D59" s="1109"/>
      <c r="E59" s="1235"/>
      <c r="F59" s="1215"/>
      <c r="G59" s="1314" t="s">
        <v>107</v>
      </c>
      <c r="H59" s="497" t="s">
        <v>23</v>
      </c>
      <c r="I59" s="498">
        <v>45992</v>
      </c>
      <c r="J59" s="188"/>
      <c r="K59" s="952"/>
      <c r="L59" s="296"/>
      <c r="M59" s="296"/>
      <c r="N59" s="296"/>
      <c r="O59" s="428"/>
      <c r="P59" s="1059"/>
      <c r="Q59" s="296"/>
      <c r="R59" s="296"/>
      <c r="S59" s="296"/>
      <c r="T59" s="953"/>
      <c r="U59" s="504"/>
      <c r="V59" s="1293"/>
      <c r="W59" s="531"/>
      <c r="X59" s="296"/>
      <c r="Y59" s="801"/>
      <c r="Z59" s="1054"/>
      <c r="AA59" s="296"/>
      <c r="AB59" s="296"/>
      <c r="AC59" s="419"/>
      <c r="AD59" s="419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6"/>
      <c r="AQ59" s="296"/>
      <c r="AR59" s="296"/>
      <c r="AS59" s="296"/>
      <c r="AT59" s="296"/>
      <c r="AU59" s="1069"/>
      <c r="AV59" s="825"/>
      <c r="AW59" s="802"/>
      <c r="AX59" s="806"/>
      <c r="AY59" s="947"/>
    </row>
    <row r="60" spans="1:56" ht="14.7" thickBot="1">
      <c r="A60" s="1149"/>
      <c r="B60" s="1153"/>
      <c r="C60" s="1227"/>
      <c r="D60" s="1109"/>
      <c r="E60" s="1235"/>
      <c r="F60" s="1215"/>
      <c r="G60" s="1314"/>
      <c r="H60" s="373" t="s">
        <v>25</v>
      </c>
      <c r="I60" s="505">
        <v>46082</v>
      </c>
      <c r="J60" s="506" t="s">
        <v>141</v>
      </c>
      <c r="K60" s="954"/>
      <c r="L60" s="436"/>
      <c r="M60" s="436"/>
      <c r="N60" s="436"/>
      <c r="O60" s="428"/>
      <c r="P60" s="1059"/>
      <c r="Q60" s="436"/>
      <c r="R60" s="436"/>
      <c r="S60" s="436"/>
      <c r="T60" s="955"/>
      <c r="U60" s="504"/>
      <c r="V60" s="1293"/>
      <c r="W60" s="956"/>
      <c r="X60" s="436"/>
      <c r="Y60" s="863"/>
      <c r="Z60" s="1055"/>
      <c r="AA60" s="436"/>
      <c r="AB60" s="436"/>
      <c r="AC60" s="419"/>
      <c r="AD60" s="419"/>
      <c r="AE60" s="436"/>
      <c r="AF60" s="436"/>
      <c r="AG60" s="436"/>
      <c r="AH60" s="436"/>
      <c r="AI60" s="436"/>
      <c r="AJ60" s="436"/>
      <c r="AK60" s="436"/>
      <c r="AL60" s="436"/>
      <c r="AM60" s="436"/>
      <c r="AN60" s="436"/>
      <c r="AO60" s="436"/>
      <c r="AP60" s="436"/>
      <c r="AQ60" s="436"/>
      <c r="AR60" s="436"/>
      <c r="AS60" s="436"/>
      <c r="AT60" s="436"/>
      <c r="AU60" s="1069"/>
      <c r="AV60" s="825"/>
      <c r="AW60" s="802"/>
      <c r="AX60" s="806"/>
      <c r="AY60" s="947"/>
    </row>
    <row r="61" spans="1:56" ht="14.4">
      <c r="A61" s="1148">
        <v>19</v>
      </c>
      <c r="B61" s="1223" t="s">
        <v>142</v>
      </c>
      <c r="C61" s="1228" t="s">
        <v>143</v>
      </c>
      <c r="D61" s="1097">
        <v>0</v>
      </c>
      <c r="E61" s="1242" t="s">
        <v>144</v>
      </c>
      <c r="F61" s="1290" t="s">
        <v>21</v>
      </c>
      <c r="G61" s="1089" t="s">
        <v>145</v>
      </c>
      <c r="H61" s="510" t="s">
        <v>23</v>
      </c>
      <c r="I61" s="491">
        <v>45449</v>
      </c>
      <c r="J61" s="492"/>
      <c r="K61" s="957"/>
      <c r="L61" s="949"/>
      <c r="M61" s="958"/>
      <c r="N61" s="959"/>
      <c r="O61" s="960"/>
      <c r="P61" s="1291"/>
      <c r="Q61" s="958"/>
      <c r="R61" s="958"/>
      <c r="S61" s="958"/>
      <c r="T61" s="958"/>
      <c r="U61" s="961"/>
      <c r="V61" s="961"/>
      <c r="W61" s="958"/>
      <c r="X61" s="958"/>
      <c r="Y61" s="958"/>
      <c r="Z61" s="958"/>
      <c r="AA61" s="958"/>
      <c r="AB61" s="958"/>
      <c r="AC61" s="958"/>
      <c r="AD61" s="958"/>
      <c r="AE61" s="958"/>
      <c r="AF61" s="958"/>
      <c r="AG61" s="958"/>
      <c r="AH61" s="958"/>
      <c r="AI61" s="958"/>
      <c r="AJ61" s="958"/>
      <c r="AK61" s="958"/>
      <c r="AL61" s="958"/>
      <c r="AM61" s="958"/>
      <c r="AN61" s="958"/>
      <c r="AO61" s="958"/>
      <c r="AP61" s="958"/>
      <c r="AQ61" s="958"/>
      <c r="AR61" s="958"/>
      <c r="AS61" s="958"/>
      <c r="AT61" s="958"/>
      <c r="AU61" s="1068"/>
      <c r="AV61" s="818"/>
      <c r="AW61" s="837"/>
      <c r="AX61" s="962"/>
      <c r="AY61" s="947"/>
    </row>
    <row r="62" spans="1:56" ht="14.4">
      <c r="A62" s="1149"/>
      <c r="B62" s="1224"/>
      <c r="C62" s="1229"/>
      <c r="D62" s="1098"/>
      <c r="E62" s="1243"/>
      <c r="F62" s="1243"/>
      <c r="G62" s="1090"/>
      <c r="H62" s="517" t="s">
        <v>25</v>
      </c>
      <c r="I62" s="498">
        <v>45901</v>
      </c>
      <c r="J62" s="286" t="s">
        <v>147</v>
      </c>
      <c r="K62" s="952"/>
      <c r="L62" s="296"/>
      <c r="M62" s="296"/>
      <c r="N62" s="296"/>
      <c r="O62" s="428"/>
      <c r="P62" s="1059"/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  <c r="AM62" s="296"/>
      <c r="AN62" s="296"/>
      <c r="AO62" s="296"/>
      <c r="AP62" s="296"/>
      <c r="AQ62" s="296"/>
      <c r="AR62" s="296"/>
      <c r="AS62" s="296"/>
      <c r="AT62" s="296"/>
      <c r="AU62" s="1069"/>
      <c r="AV62" s="825"/>
      <c r="AW62" s="802"/>
      <c r="AX62" s="804"/>
      <c r="AY62" s="947"/>
    </row>
    <row r="63" spans="1:56">
      <c r="A63" s="1149"/>
      <c r="B63" s="1224"/>
      <c r="C63" s="1229"/>
      <c r="D63" s="1098"/>
      <c r="E63" s="1243"/>
      <c r="F63" s="1243"/>
      <c r="G63" s="1090"/>
      <c r="H63" s="517" t="s">
        <v>23</v>
      </c>
      <c r="I63" s="498">
        <v>45992</v>
      </c>
      <c r="J63" s="518" t="s">
        <v>148</v>
      </c>
      <c r="K63" s="952"/>
      <c r="L63" s="296"/>
      <c r="M63" s="296"/>
      <c r="N63" s="296"/>
      <c r="O63" s="428"/>
      <c r="P63" s="1059"/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  <c r="AM63" s="296"/>
      <c r="AN63" s="296"/>
      <c r="AO63" s="296"/>
      <c r="AP63" s="296"/>
      <c r="AQ63" s="296"/>
      <c r="AR63" s="296"/>
      <c r="AS63" s="296"/>
      <c r="AT63" s="296"/>
      <c r="AU63" s="1069"/>
      <c r="AV63" s="825"/>
      <c r="AW63" s="802"/>
      <c r="AX63" s="806"/>
      <c r="AY63" s="419"/>
    </row>
    <row r="64" spans="1:56" ht="14.1" thickBot="1">
      <c r="A64" s="1149"/>
      <c r="B64" s="1225"/>
      <c r="C64" s="1229"/>
      <c r="D64" s="1099"/>
      <c r="E64" s="1244"/>
      <c r="F64" s="1244"/>
      <c r="G64" s="1091"/>
      <c r="H64" s="519" t="s">
        <v>25</v>
      </c>
      <c r="I64" s="505">
        <v>46082</v>
      </c>
      <c r="J64" s="520" t="s">
        <v>149</v>
      </c>
      <c r="K64" s="954"/>
      <c r="L64" s="436"/>
      <c r="M64" s="436"/>
      <c r="N64" s="436"/>
      <c r="O64" s="428"/>
      <c r="P64" s="1059"/>
      <c r="Q64" s="436"/>
      <c r="R64" s="436"/>
      <c r="S64" s="436"/>
      <c r="T64" s="436"/>
      <c r="U64" s="436"/>
      <c r="V64" s="436"/>
      <c r="W64" s="436"/>
      <c r="X64" s="436"/>
      <c r="Y64" s="436"/>
      <c r="Z64" s="436"/>
      <c r="AA64" s="436"/>
      <c r="AB64" s="436"/>
      <c r="AC64" s="436"/>
      <c r="AD64" s="436"/>
      <c r="AE64" s="436"/>
      <c r="AF64" s="436"/>
      <c r="AG64" s="436"/>
      <c r="AH64" s="436"/>
      <c r="AI64" s="436"/>
      <c r="AJ64" s="436"/>
      <c r="AK64" s="436"/>
      <c r="AL64" s="436"/>
      <c r="AM64" s="436"/>
      <c r="AN64" s="436"/>
      <c r="AO64" s="436"/>
      <c r="AP64" s="436"/>
      <c r="AQ64" s="436"/>
      <c r="AR64" s="436"/>
      <c r="AS64" s="436"/>
      <c r="AT64" s="436"/>
      <c r="AU64" s="1069"/>
      <c r="AV64" s="825"/>
      <c r="AW64" s="802"/>
      <c r="AX64" s="806"/>
      <c r="AY64" s="419"/>
    </row>
    <row r="65" spans="1:51">
      <c r="A65" s="1148">
        <v>20</v>
      </c>
      <c r="B65" s="1152" t="s">
        <v>150</v>
      </c>
      <c r="C65" s="1226" t="s">
        <v>49</v>
      </c>
      <c r="D65" s="1108">
        <v>0</v>
      </c>
      <c r="E65" s="1234" t="s">
        <v>151</v>
      </c>
      <c r="F65" s="1207" t="s">
        <v>21</v>
      </c>
      <c r="G65" s="1238" t="s">
        <v>145</v>
      </c>
      <c r="H65" s="521" t="s">
        <v>23</v>
      </c>
      <c r="I65" s="522">
        <v>45354</v>
      </c>
      <c r="J65" s="523" t="s">
        <v>152</v>
      </c>
      <c r="K65" s="948"/>
      <c r="L65" s="949"/>
      <c r="M65" s="958"/>
      <c r="N65" s="950"/>
      <c r="O65" s="528"/>
      <c r="P65" s="1292"/>
      <c r="Q65" s="963"/>
      <c r="R65" s="963"/>
      <c r="S65" s="963"/>
      <c r="T65" s="963"/>
      <c r="U65" s="963"/>
      <c r="V65" s="963"/>
      <c r="W65" s="963"/>
      <c r="X65" s="963"/>
      <c r="Y65" s="963"/>
      <c r="Z65" s="963"/>
      <c r="AA65" s="963"/>
      <c r="AB65" s="963"/>
      <c r="AC65" s="963"/>
      <c r="AD65" s="963"/>
      <c r="AE65" s="963"/>
      <c r="AF65" s="963"/>
      <c r="AG65" s="963"/>
      <c r="AH65" s="963"/>
      <c r="AI65" s="963"/>
      <c r="AJ65" s="963"/>
      <c r="AK65" s="963"/>
      <c r="AL65" s="963"/>
      <c r="AM65" s="963"/>
      <c r="AN65" s="963"/>
      <c r="AO65" s="963"/>
      <c r="AP65" s="963"/>
      <c r="AQ65" s="963"/>
      <c r="AR65" s="963"/>
      <c r="AS65" s="963"/>
      <c r="AT65" s="963"/>
      <c r="AU65" s="1068"/>
      <c r="AV65" s="818"/>
      <c r="AW65" s="837"/>
      <c r="AX65" s="838"/>
      <c r="AY65" s="419"/>
    </row>
    <row r="66" spans="1:51" ht="14.1">
      <c r="A66" s="1149"/>
      <c r="B66" s="1153"/>
      <c r="C66" s="1227"/>
      <c r="D66" s="1109"/>
      <c r="E66" s="1235"/>
      <c r="F66" s="1208"/>
      <c r="G66" s="1235"/>
      <c r="H66" s="517" t="s">
        <v>25</v>
      </c>
      <c r="I66" s="525">
        <v>45809</v>
      </c>
      <c r="J66" s="286"/>
      <c r="K66" s="952"/>
      <c r="L66" s="296"/>
      <c r="M66" s="296"/>
      <c r="N66" s="953"/>
      <c r="O66" s="504"/>
      <c r="P66" s="1293"/>
      <c r="Q66" s="531"/>
      <c r="R66" s="296"/>
      <c r="S66" s="296"/>
      <c r="T66" s="296"/>
      <c r="U66" s="296"/>
      <c r="V66" s="296"/>
      <c r="W66" s="296"/>
      <c r="X66" s="296"/>
      <c r="Y66" s="296"/>
      <c r="Z66" s="296"/>
      <c r="AA66" s="296"/>
      <c r="AB66" s="296"/>
      <c r="AC66" s="296"/>
      <c r="AD66" s="296"/>
      <c r="AE66" s="296"/>
      <c r="AF66" s="296"/>
      <c r="AG66" s="296"/>
      <c r="AH66" s="296"/>
      <c r="AI66" s="296"/>
      <c r="AJ66" s="296"/>
      <c r="AK66" s="296"/>
      <c r="AL66" s="296"/>
      <c r="AM66" s="296"/>
      <c r="AN66" s="296"/>
      <c r="AO66" s="296"/>
      <c r="AP66" s="296"/>
      <c r="AQ66" s="296"/>
      <c r="AR66" s="296"/>
      <c r="AS66" s="296"/>
      <c r="AT66" s="296"/>
      <c r="AU66" s="1069"/>
      <c r="AV66" s="825"/>
      <c r="AW66" s="802"/>
      <c r="AX66" s="804"/>
      <c r="AY66" s="419"/>
    </row>
    <row r="67" spans="1:51">
      <c r="A67" s="1149"/>
      <c r="B67" s="1153"/>
      <c r="C67" s="1227"/>
      <c r="D67" s="1109"/>
      <c r="E67" s="1235"/>
      <c r="F67" s="1208"/>
      <c r="G67" s="1235"/>
      <c r="H67" s="517" t="s">
        <v>27</v>
      </c>
      <c r="I67" s="498">
        <v>45901</v>
      </c>
      <c r="J67" s="518" t="s">
        <v>154</v>
      </c>
      <c r="K67" s="954"/>
      <c r="L67" s="436"/>
      <c r="M67" s="436"/>
      <c r="N67" s="955"/>
      <c r="O67" s="504"/>
      <c r="P67" s="1293"/>
      <c r="Q67" s="956"/>
      <c r="R67" s="436"/>
      <c r="S67" s="436"/>
      <c r="T67" s="436"/>
      <c r="U67" s="436"/>
      <c r="V67" s="436"/>
      <c r="W67" s="436"/>
      <c r="X67" s="436"/>
      <c r="Y67" s="436"/>
      <c r="Z67" s="436"/>
      <c r="AA67" s="436"/>
      <c r="AB67" s="436"/>
      <c r="AC67" s="436"/>
      <c r="AD67" s="436"/>
      <c r="AE67" s="436"/>
      <c r="AF67" s="436"/>
      <c r="AG67" s="436"/>
      <c r="AH67" s="436"/>
      <c r="AI67" s="436"/>
      <c r="AJ67" s="436"/>
      <c r="AK67" s="436"/>
      <c r="AL67" s="436"/>
      <c r="AM67" s="436"/>
      <c r="AN67" s="436"/>
      <c r="AO67" s="436"/>
      <c r="AP67" s="436"/>
      <c r="AQ67" s="436"/>
      <c r="AR67" s="436"/>
      <c r="AS67" s="436"/>
      <c r="AT67" s="436"/>
      <c r="AU67" s="1069"/>
      <c r="AV67" s="825"/>
      <c r="AW67" s="802"/>
      <c r="AX67" s="806"/>
      <c r="AY67" s="419"/>
    </row>
    <row r="68" spans="1:51" ht="14.1" thickBot="1">
      <c r="A68" s="1149"/>
      <c r="B68" s="1153"/>
      <c r="C68" s="1227"/>
      <c r="D68" s="1109"/>
      <c r="E68" s="1235"/>
      <c r="F68" s="1208"/>
      <c r="G68" s="1235"/>
      <c r="H68" s="519" t="s">
        <v>30</v>
      </c>
      <c r="I68" s="505">
        <v>46357</v>
      </c>
      <c r="J68" s="520" t="s">
        <v>149</v>
      </c>
      <c r="K68" s="954"/>
      <c r="L68" s="1284"/>
      <c r="M68" s="436"/>
      <c r="N68" s="955"/>
      <c r="O68" s="534"/>
      <c r="P68" s="1294"/>
      <c r="Q68" s="956"/>
      <c r="R68" s="436"/>
      <c r="S68" s="436"/>
      <c r="T68" s="436"/>
      <c r="U68" s="436"/>
      <c r="V68" s="436"/>
      <c r="W68" s="436"/>
      <c r="X68" s="436"/>
      <c r="Y68" s="436"/>
      <c r="Z68" s="436"/>
      <c r="AA68" s="436"/>
      <c r="AB68" s="436"/>
      <c r="AC68" s="436"/>
      <c r="AD68" s="436"/>
      <c r="AE68" s="436"/>
      <c r="AF68" s="436"/>
      <c r="AG68" s="436"/>
      <c r="AH68" s="436"/>
      <c r="AI68" s="436"/>
      <c r="AJ68" s="436"/>
      <c r="AK68" s="436"/>
      <c r="AL68" s="436"/>
      <c r="AM68" s="436"/>
      <c r="AN68" s="436"/>
      <c r="AO68" s="436"/>
      <c r="AP68" s="436"/>
      <c r="AQ68" s="436"/>
      <c r="AR68" s="436"/>
      <c r="AS68" s="436"/>
      <c r="AT68" s="436"/>
      <c r="AU68" s="1069"/>
      <c r="AV68" s="825"/>
      <c r="AW68" s="802"/>
      <c r="AX68" s="806"/>
      <c r="AY68" s="419"/>
    </row>
    <row r="69" spans="1:51">
      <c r="A69" s="1148">
        <v>21</v>
      </c>
      <c r="B69" s="1083" t="s">
        <v>155</v>
      </c>
      <c r="C69" s="1205" t="s">
        <v>20</v>
      </c>
      <c r="D69" s="1108">
        <v>1460528</v>
      </c>
      <c r="E69" s="1234" t="s">
        <v>745</v>
      </c>
      <c r="F69" s="1207" t="s">
        <v>21</v>
      </c>
      <c r="G69" s="1238" t="s">
        <v>103</v>
      </c>
      <c r="H69" s="521" t="s">
        <v>23</v>
      </c>
      <c r="I69" s="522">
        <v>45828</v>
      </c>
      <c r="J69" s="523" t="s">
        <v>776</v>
      </c>
      <c r="K69" s="948"/>
      <c r="L69" s="1285"/>
      <c r="M69" s="949"/>
      <c r="N69" s="950"/>
      <c r="O69" s="528"/>
      <c r="P69" s="1292"/>
      <c r="Q69" s="951"/>
      <c r="R69" s="949"/>
      <c r="S69" s="940"/>
      <c r="T69" s="1060"/>
      <c r="U69" s="949"/>
      <c r="V69" s="949"/>
      <c r="W69" s="949"/>
      <c r="X69" s="949"/>
      <c r="Y69" s="964"/>
      <c r="Z69" s="1317"/>
      <c r="AA69" s="296"/>
      <c r="AB69" s="296"/>
      <c r="AC69" s="951"/>
      <c r="AD69" s="949"/>
      <c r="AE69" s="949"/>
      <c r="AF69" s="949"/>
      <c r="AG69" s="949"/>
      <c r="AH69" s="949"/>
      <c r="AI69" s="949"/>
      <c r="AJ69" s="949"/>
      <c r="AK69" s="949"/>
      <c r="AL69" s="949"/>
      <c r="AM69" s="949"/>
      <c r="AN69" s="949"/>
      <c r="AO69" s="949"/>
      <c r="AP69" s="949"/>
      <c r="AQ69" s="949"/>
      <c r="AR69" s="949"/>
      <c r="AS69" s="949"/>
      <c r="AT69" s="949"/>
      <c r="AU69" s="1068"/>
      <c r="AV69" s="818"/>
      <c r="AW69" s="837"/>
      <c r="AX69" s="838"/>
      <c r="AY69" s="419"/>
    </row>
    <row r="70" spans="1:51" ht="14.1">
      <c r="A70" s="1149"/>
      <c r="B70" s="1084"/>
      <c r="C70" s="1206"/>
      <c r="D70" s="1109"/>
      <c r="E70" s="1235"/>
      <c r="F70" s="1208"/>
      <c r="G70" s="1235"/>
      <c r="H70" s="517" t="s">
        <v>25</v>
      </c>
      <c r="I70" s="525">
        <v>45901</v>
      </c>
      <c r="J70" s="286"/>
      <c r="K70" s="952"/>
      <c r="L70" s="1286"/>
      <c r="M70" s="296"/>
      <c r="N70" s="953"/>
      <c r="O70" s="504"/>
      <c r="P70" s="1293"/>
      <c r="Q70" s="531"/>
      <c r="R70" s="965"/>
      <c r="S70" s="428"/>
      <c r="T70" s="1059"/>
      <c r="U70" s="296"/>
      <c r="V70" s="296"/>
      <c r="W70" s="296"/>
      <c r="X70" s="953"/>
      <c r="Y70" s="502"/>
      <c r="Z70" s="1318"/>
      <c r="AA70" s="296"/>
      <c r="AB70" s="296"/>
      <c r="AC70" s="531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  <c r="AT70" s="296"/>
      <c r="AU70" s="1069"/>
      <c r="AV70" s="825"/>
      <c r="AW70" s="802"/>
      <c r="AX70" s="826"/>
      <c r="AY70" s="419"/>
    </row>
    <row r="71" spans="1:51">
      <c r="A71" s="1149"/>
      <c r="B71" s="1084"/>
      <c r="C71" s="1206"/>
      <c r="D71" s="1109"/>
      <c r="E71" s="1235"/>
      <c r="F71" s="1208"/>
      <c r="G71" s="1235"/>
      <c r="H71" s="517" t="s">
        <v>27</v>
      </c>
      <c r="I71" s="498">
        <v>45992</v>
      </c>
      <c r="J71" s="518"/>
      <c r="K71" s="952"/>
      <c r="L71" s="1287"/>
      <c r="M71" s="296"/>
      <c r="N71" s="953"/>
      <c r="O71" s="504"/>
      <c r="P71" s="1293"/>
      <c r="Q71" s="531"/>
      <c r="R71" s="296"/>
      <c r="S71" s="428"/>
      <c r="T71" s="1059"/>
      <c r="U71" s="296"/>
      <c r="V71" s="296"/>
      <c r="W71" s="296"/>
      <c r="X71" s="953"/>
      <c r="Y71" s="419"/>
      <c r="Z71" s="1318"/>
      <c r="AA71" s="296"/>
      <c r="AB71" s="296"/>
      <c r="AC71" s="531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6"/>
      <c r="AR71" s="296"/>
      <c r="AS71" s="296"/>
      <c r="AT71" s="296"/>
      <c r="AU71" s="1069"/>
      <c r="AV71" s="825"/>
      <c r="AW71" s="802"/>
      <c r="AX71" s="806"/>
      <c r="AY71" s="419"/>
    </row>
    <row r="72" spans="1:51" ht="14.1" thickBot="1">
      <c r="A72" s="1149"/>
      <c r="B72" s="1084"/>
      <c r="C72" s="1206"/>
      <c r="D72" s="1109"/>
      <c r="E72" s="1235"/>
      <c r="F72" s="1208"/>
      <c r="G72" s="1235"/>
      <c r="H72" s="519" t="s">
        <v>30</v>
      </c>
      <c r="I72" s="505">
        <v>46082</v>
      </c>
      <c r="J72" s="520"/>
      <c r="K72" s="954"/>
      <c r="L72" s="909"/>
      <c r="M72" s="909"/>
      <c r="N72" s="966"/>
      <c r="O72" s="534"/>
      <c r="P72" s="1294"/>
      <c r="Q72" s="967"/>
      <c r="R72" s="909"/>
      <c r="S72" s="428"/>
      <c r="T72" s="1059"/>
      <c r="U72" s="909"/>
      <c r="V72" s="909"/>
      <c r="W72" s="909"/>
      <c r="X72" s="966"/>
      <c r="Y72" s="534"/>
      <c r="Z72" s="1319"/>
      <c r="AA72" s="296"/>
      <c r="AB72" s="296"/>
      <c r="AC72" s="967"/>
      <c r="AD72" s="909"/>
      <c r="AE72" s="909"/>
      <c r="AF72" s="909"/>
      <c r="AG72" s="909"/>
      <c r="AH72" s="909"/>
      <c r="AI72" s="909"/>
      <c r="AJ72" s="909"/>
      <c r="AK72" s="909"/>
      <c r="AL72" s="909"/>
      <c r="AM72" s="909"/>
      <c r="AN72" s="909"/>
      <c r="AO72" s="909"/>
      <c r="AP72" s="909"/>
      <c r="AQ72" s="909"/>
      <c r="AR72" s="909"/>
      <c r="AS72" s="909"/>
      <c r="AT72" s="909"/>
      <c r="AU72" s="1069"/>
      <c r="AV72" s="825"/>
      <c r="AW72" s="802"/>
      <c r="AX72" s="806"/>
      <c r="AY72" s="419"/>
    </row>
    <row r="73" spans="1:51">
      <c r="A73" s="1148">
        <v>22</v>
      </c>
      <c r="B73" s="1083" t="s">
        <v>161</v>
      </c>
      <c r="C73" s="1083" t="s">
        <v>49</v>
      </c>
      <c r="D73" s="1108">
        <v>71216</v>
      </c>
      <c r="E73" s="1234" t="s">
        <v>777</v>
      </c>
      <c r="F73" s="1112" t="s">
        <v>21</v>
      </c>
      <c r="G73" s="1239" t="s">
        <v>145</v>
      </c>
      <c r="H73" s="536" t="s">
        <v>23</v>
      </c>
      <c r="I73" s="491">
        <v>45809</v>
      </c>
      <c r="J73" s="537"/>
      <c r="K73" s="948"/>
      <c r="L73" s="968"/>
      <c r="M73" s="968"/>
      <c r="N73" s="969"/>
      <c r="O73" s="540"/>
      <c r="P73" s="529"/>
      <c r="Q73" s="970"/>
      <c r="R73" s="1315"/>
      <c r="S73" s="542"/>
      <c r="T73" s="439"/>
      <c r="U73" s="970"/>
      <c r="V73" s="968"/>
      <c r="W73" s="968"/>
      <c r="X73" s="968"/>
      <c r="Y73" s="544"/>
      <c r="Z73" s="971"/>
      <c r="AA73" s="296"/>
      <c r="AB73" s="296"/>
      <c r="AC73" s="970"/>
      <c r="AD73" s="968"/>
      <c r="AE73" s="968"/>
      <c r="AF73" s="968"/>
      <c r="AG73" s="968"/>
      <c r="AH73" s="968"/>
      <c r="AI73" s="968"/>
      <c r="AJ73" s="968"/>
      <c r="AK73" s="968"/>
      <c r="AL73" s="968"/>
      <c r="AM73" s="968"/>
      <c r="AN73" s="968"/>
      <c r="AO73" s="968"/>
      <c r="AP73" s="968"/>
      <c r="AQ73" s="968"/>
      <c r="AR73" s="968"/>
      <c r="AS73" s="968"/>
      <c r="AT73" s="968"/>
      <c r="AU73" s="1068"/>
      <c r="AV73" s="818"/>
      <c r="AW73" s="837"/>
      <c r="AX73" s="838"/>
      <c r="AY73" s="419"/>
    </row>
    <row r="74" spans="1:51" ht="14.1">
      <c r="A74" s="1149"/>
      <c r="B74" s="1084"/>
      <c r="C74" s="1084"/>
      <c r="D74" s="1109"/>
      <c r="E74" s="1235"/>
      <c r="F74" s="1113"/>
      <c r="G74" s="1276"/>
      <c r="H74" s="545" t="s">
        <v>25</v>
      </c>
      <c r="I74" s="546">
        <v>45901</v>
      </c>
      <c r="J74" s="520"/>
      <c r="K74" s="952"/>
      <c r="L74" s="414"/>
      <c r="M74" s="414"/>
      <c r="N74" s="972"/>
      <c r="O74" s="549"/>
      <c r="P74" s="550"/>
      <c r="Q74" s="973"/>
      <c r="R74" s="1316"/>
      <c r="S74" s="552"/>
      <c r="T74" s="422"/>
      <c r="U74" s="973"/>
      <c r="V74" s="414"/>
      <c r="W74" s="414"/>
      <c r="X74" s="414"/>
      <c r="Y74" s="428"/>
      <c r="Z74" s="974"/>
      <c r="AA74" s="296"/>
      <c r="AB74" s="296"/>
      <c r="AC74" s="973"/>
      <c r="AD74" s="414"/>
      <c r="AE74" s="414"/>
      <c r="AF74" s="414"/>
      <c r="AG74" s="414"/>
      <c r="AH74" s="414"/>
      <c r="AI74" s="414"/>
      <c r="AJ74" s="414"/>
      <c r="AK74" s="414"/>
      <c r="AL74" s="414"/>
      <c r="AM74" s="414"/>
      <c r="AN74" s="414"/>
      <c r="AO74" s="414"/>
      <c r="AP74" s="414"/>
      <c r="AQ74" s="414"/>
      <c r="AR74" s="414"/>
      <c r="AS74" s="414"/>
      <c r="AT74" s="414"/>
      <c r="AU74" s="1069"/>
      <c r="AV74" s="825"/>
      <c r="AW74" s="802"/>
      <c r="AX74" s="826"/>
      <c r="AY74" s="419"/>
    </row>
    <row r="75" spans="1:51">
      <c r="A75" s="1149"/>
      <c r="B75" s="1084"/>
      <c r="C75" s="1084"/>
      <c r="D75" s="1109"/>
      <c r="E75" s="1235"/>
      <c r="F75" s="1113"/>
      <c r="G75" s="1276"/>
      <c r="H75" s="554" t="s">
        <v>27</v>
      </c>
      <c r="I75" s="546">
        <v>46023</v>
      </c>
      <c r="J75" s="520"/>
      <c r="K75" s="952"/>
      <c r="L75" s="414"/>
      <c r="M75" s="414"/>
      <c r="N75" s="972"/>
      <c r="O75" s="549"/>
      <c r="P75" s="550"/>
      <c r="Q75" s="973"/>
      <c r="R75" s="1316"/>
      <c r="S75" s="552"/>
      <c r="T75" s="422"/>
      <c r="U75" s="973"/>
      <c r="V75" s="414"/>
      <c r="W75" s="414"/>
      <c r="X75" s="414"/>
      <c r="Y75" s="428"/>
      <c r="Z75" s="974"/>
      <c r="AA75" s="296"/>
      <c r="AB75" s="296"/>
      <c r="AC75" s="973"/>
      <c r="AD75" s="414"/>
      <c r="AE75" s="414"/>
      <c r="AF75" s="414"/>
      <c r="AG75" s="414"/>
      <c r="AH75" s="414"/>
      <c r="AI75" s="414"/>
      <c r="AJ75" s="414"/>
      <c r="AK75" s="414"/>
      <c r="AL75" s="414"/>
      <c r="AM75" s="414"/>
      <c r="AN75" s="414"/>
      <c r="AO75" s="414"/>
      <c r="AP75" s="414"/>
      <c r="AQ75" s="414"/>
      <c r="AR75" s="414"/>
      <c r="AS75" s="414"/>
      <c r="AT75" s="414"/>
      <c r="AU75" s="1069"/>
      <c r="AV75" s="825"/>
      <c r="AW75" s="802"/>
      <c r="AX75" s="806"/>
      <c r="AY75" s="419"/>
    </row>
    <row r="76" spans="1:51" ht="14.1" thickBot="1">
      <c r="A76" s="1149"/>
      <c r="B76" s="1084"/>
      <c r="C76" s="1084"/>
      <c r="D76" s="1109"/>
      <c r="E76" s="1235"/>
      <c r="F76" s="1113"/>
      <c r="G76" s="1214"/>
      <c r="H76" s="555" t="s">
        <v>30</v>
      </c>
      <c r="I76" s="556">
        <v>46143</v>
      </c>
      <c r="J76" s="198"/>
      <c r="K76" s="954"/>
      <c r="L76" s="436"/>
      <c r="M76" s="436"/>
      <c r="N76" s="436"/>
      <c r="O76" s="924"/>
      <c r="P76" s="924"/>
      <c r="Q76" s="436"/>
      <c r="R76" s="1316"/>
      <c r="S76" s="924"/>
      <c r="T76" s="924"/>
      <c r="U76" s="436"/>
      <c r="V76" s="436"/>
      <c r="W76" s="436"/>
      <c r="X76" s="436"/>
      <c r="Y76" s="428"/>
      <c r="Z76" s="436"/>
      <c r="AA76" s="924"/>
      <c r="AB76" s="924"/>
      <c r="AC76" s="436"/>
      <c r="AD76" s="436"/>
      <c r="AE76" s="436"/>
      <c r="AF76" s="436"/>
      <c r="AG76" s="436"/>
      <c r="AH76" s="436"/>
      <c r="AI76" s="436"/>
      <c r="AJ76" s="436"/>
      <c r="AK76" s="436"/>
      <c r="AL76" s="436"/>
      <c r="AM76" s="436"/>
      <c r="AN76" s="436"/>
      <c r="AO76" s="436"/>
      <c r="AP76" s="436"/>
      <c r="AQ76" s="436"/>
      <c r="AR76" s="436"/>
      <c r="AS76" s="436"/>
      <c r="AT76" s="436"/>
      <c r="AU76" s="1069"/>
      <c r="AV76" s="825"/>
      <c r="AW76" s="802"/>
      <c r="AX76" s="806"/>
      <c r="AY76" s="419"/>
    </row>
    <row r="77" spans="1:51">
      <c r="A77" s="1326">
        <v>23</v>
      </c>
      <c r="B77" s="1329" t="s">
        <v>165</v>
      </c>
      <c r="C77" s="1085" t="s">
        <v>166</v>
      </c>
      <c r="D77" s="1105">
        <v>0</v>
      </c>
      <c r="E77" s="1278" t="s">
        <v>167</v>
      </c>
      <c r="F77" s="1112" t="s">
        <v>21</v>
      </c>
      <c r="G77" s="1278" t="s">
        <v>168</v>
      </c>
      <c r="H77" s="490" t="s">
        <v>23</v>
      </c>
      <c r="I77" s="558">
        <v>45658</v>
      </c>
      <c r="J77" s="201" t="s">
        <v>169</v>
      </c>
      <c r="K77" s="975"/>
      <c r="L77" s="443"/>
      <c r="M77" s="976"/>
      <c r="N77" s="443"/>
      <c r="O77" s="976"/>
      <c r="P77" s="977"/>
      <c r="Q77" s="978"/>
      <c r="R77" s="1060"/>
      <c r="S77" s="976"/>
      <c r="T77" s="443"/>
      <c r="U77" s="976"/>
      <c r="V77" s="443"/>
      <c r="W77" s="976"/>
      <c r="X77" s="443"/>
      <c r="Y77" s="979"/>
      <c r="Z77" s="1057"/>
      <c r="AA77" s="980"/>
      <c r="AB77" s="443"/>
      <c r="AC77" s="981"/>
      <c r="AD77" s="949"/>
      <c r="AE77" s="949"/>
      <c r="AF77" s="949"/>
      <c r="AG77" s="949"/>
      <c r="AH77" s="949"/>
      <c r="AI77" s="949"/>
      <c r="AJ77" s="949"/>
      <c r="AK77" s="949"/>
      <c r="AL77" s="949"/>
      <c r="AM77" s="949"/>
      <c r="AN77" s="982"/>
      <c r="AO77" s="443"/>
      <c r="AP77" s="443"/>
      <c r="AQ77" s="443"/>
      <c r="AR77" s="443"/>
      <c r="AS77" s="443"/>
      <c r="AT77" s="443"/>
      <c r="AU77" s="1068"/>
      <c r="AV77" s="818"/>
      <c r="AW77" s="837"/>
      <c r="AX77" s="838"/>
      <c r="AY77" s="419"/>
    </row>
    <row r="78" spans="1:51" ht="14.1">
      <c r="A78" s="1327"/>
      <c r="B78" s="1330"/>
      <c r="C78" s="1086"/>
      <c r="D78" s="1106"/>
      <c r="E78" s="1240"/>
      <c r="F78" s="1113"/>
      <c r="G78" s="1240"/>
      <c r="H78" s="497" t="s">
        <v>25</v>
      </c>
      <c r="I78" s="564">
        <v>45748</v>
      </c>
      <c r="J78" s="212" t="s">
        <v>171</v>
      </c>
      <c r="K78" s="983"/>
      <c r="L78" s="397"/>
      <c r="M78" s="980"/>
      <c r="N78" s="397"/>
      <c r="O78" s="397"/>
      <c r="P78" s="397"/>
      <c r="Q78" s="980"/>
      <c r="R78" s="1059"/>
      <c r="S78" s="397"/>
      <c r="T78" s="397"/>
      <c r="U78" s="397"/>
      <c r="V78" s="397"/>
      <c r="W78" s="397"/>
      <c r="X78" s="397"/>
      <c r="Y78" s="984"/>
      <c r="Z78" s="1054"/>
      <c r="AA78" s="980"/>
      <c r="AB78" s="397"/>
      <c r="AC78" s="1323"/>
      <c r="AD78" s="1072"/>
      <c r="AE78" s="985"/>
      <c r="AF78" s="873"/>
      <c r="AG78" s="985"/>
      <c r="AH78" s="873"/>
      <c r="AI78" s="985"/>
      <c r="AJ78" s="873"/>
      <c r="AK78" s="985"/>
      <c r="AL78" s="873"/>
      <c r="AM78" s="985"/>
      <c r="AN78" s="397"/>
      <c r="AO78" s="397"/>
      <c r="AP78" s="397"/>
      <c r="AQ78" s="397"/>
      <c r="AR78" s="397"/>
      <c r="AS78" s="397"/>
      <c r="AT78" s="397"/>
      <c r="AU78" s="1069"/>
      <c r="AV78" s="825"/>
      <c r="AW78" s="802"/>
      <c r="AX78" s="826"/>
      <c r="AY78" s="419"/>
    </row>
    <row r="79" spans="1:51" ht="14.1" thickBot="1">
      <c r="A79" s="1327"/>
      <c r="B79" s="1330"/>
      <c r="C79" s="1086"/>
      <c r="D79" s="1106"/>
      <c r="E79" s="1240"/>
      <c r="F79" s="1113"/>
      <c r="G79" s="1240"/>
      <c r="H79" s="497" t="s">
        <v>27</v>
      </c>
      <c r="I79" s="564">
        <v>45839</v>
      </c>
      <c r="J79" s="212" t="s">
        <v>172</v>
      </c>
      <c r="K79" s="983"/>
      <c r="L79" s="397"/>
      <c r="M79" s="980"/>
      <c r="N79" s="397"/>
      <c r="O79" s="397"/>
      <c r="P79" s="397"/>
      <c r="Q79" s="434"/>
      <c r="R79" s="1059"/>
      <c r="S79" s="397"/>
      <c r="T79" s="397"/>
      <c r="U79" s="397"/>
      <c r="V79" s="397"/>
      <c r="W79" s="397"/>
      <c r="X79" s="397"/>
      <c r="Y79" s="980"/>
      <c r="Z79" s="1054"/>
      <c r="AA79" s="397"/>
      <c r="AB79" s="397"/>
      <c r="AC79" s="1324"/>
      <c r="AD79" s="1051"/>
      <c r="AE79" s="397"/>
      <c r="AF79" s="397"/>
      <c r="AG79" s="397"/>
      <c r="AH79" s="397"/>
      <c r="AI79" s="397"/>
      <c r="AJ79" s="397"/>
      <c r="AK79" s="397"/>
      <c r="AL79" s="397"/>
      <c r="AM79" s="397"/>
      <c r="AN79" s="397"/>
      <c r="AO79" s="397"/>
      <c r="AP79" s="397"/>
      <c r="AQ79" s="397"/>
      <c r="AR79" s="397"/>
      <c r="AS79" s="397"/>
      <c r="AT79" s="397"/>
      <c r="AU79" s="1069"/>
      <c r="AV79" s="825"/>
      <c r="AW79" s="802"/>
      <c r="AX79" s="806"/>
      <c r="AY79" s="419"/>
    </row>
    <row r="80" spans="1:51" ht="14.1" thickBot="1">
      <c r="A80" s="1328"/>
      <c r="B80" s="1331"/>
      <c r="C80" s="1086"/>
      <c r="D80" s="1107"/>
      <c r="E80" s="1241"/>
      <c r="F80" s="1113"/>
      <c r="G80" s="1241"/>
      <c r="H80" s="373" t="s">
        <v>30</v>
      </c>
      <c r="I80" s="570">
        <v>45931</v>
      </c>
      <c r="J80" s="229" t="s">
        <v>173</v>
      </c>
      <c r="K80" s="986"/>
      <c r="L80" s="434"/>
      <c r="M80" s="984"/>
      <c r="N80" s="434"/>
      <c r="O80" s="434"/>
      <c r="P80" s="434"/>
      <c r="Q80" s="889"/>
      <c r="R80" s="1059"/>
      <c r="S80" s="434"/>
      <c r="T80" s="434"/>
      <c r="U80" s="434"/>
      <c r="V80" s="434"/>
      <c r="W80" s="434"/>
      <c r="X80" s="434"/>
      <c r="Y80" s="987"/>
      <c r="Z80" s="1054"/>
      <c r="AA80" s="434"/>
      <c r="AB80" s="434"/>
      <c r="AC80" s="1325"/>
      <c r="AD80" s="1073"/>
      <c r="AE80" s="434"/>
      <c r="AF80" s="434"/>
      <c r="AG80" s="434"/>
      <c r="AH80" s="434"/>
      <c r="AI80" s="434"/>
      <c r="AJ80" s="434"/>
      <c r="AK80" s="434"/>
      <c r="AL80" s="434"/>
      <c r="AM80" s="434"/>
      <c r="AN80" s="434"/>
      <c r="AO80" s="434"/>
      <c r="AP80" s="434"/>
      <c r="AQ80" s="434"/>
      <c r="AR80" s="434"/>
      <c r="AS80" s="434"/>
      <c r="AT80" s="434"/>
      <c r="AU80" s="1069"/>
      <c r="AV80" s="825"/>
      <c r="AW80" s="837"/>
      <c r="AX80" s="806"/>
      <c r="AY80" s="419"/>
    </row>
    <row r="81" spans="1:51">
      <c r="A81" s="1326">
        <v>24</v>
      </c>
      <c r="B81" s="1273" t="s">
        <v>174</v>
      </c>
      <c r="C81" s="1087" t="s">
        <v>175</v>
      </c>
      <c r="D81" s="1103">
        <v>0</v>
      </c>
      <c r="E81" s="1092" t="s">
        <v>176</v>
      </c>
      <c r="F81" s="1112" t="s">
        <v>21</v>
      </c>
      <c r="G81" s="1239" t="s">
        <v>177</v>
      </c>
      <c r="H81" s="490" t="s">
        <v>23</v>
      </c>
      <c r="I81" s="558">
        <v>45658</v>
      </c>
      <c r="J81" s="201" t="s">
        <v>178</v>
      </c>
      <c r="K81" s="975"/>
      <c r="L81" s="443"/>
      <c r="M81" s="443"/>
      <c r="N81" s="443"/>
      <c r="O81" s="443"/>
      <c r="P81" s="469"/>
      <c r="Q81" s="528"/>
      <c r="R81" s="1291"/>
      <c r="S81" s="443"/>
      <c r="T81" s="443"/>
      <c r="U81" s="443"/>
      <c r="V81" s="443"/>
      <c r="W81" s="443"/>
      <c r="X81" s="443"/>
      <c r="Y81" s="542"/>
      <c r="Z81" s="443"/>
      <c r="AA81" s="443"/>
      <c r="AB81" s="443"/>
      <c r="AC81" s="443"/>
      <c r="AD81" s="443"/>
      <c r="AE81" s="579"/>
      <c r="AF81" s="1060"/>
      <c r="AG81" s="443"/>
      <c r="AH81" s="443"/>
      <c r="AI81" s="443"/>
      <c r="AJ81" s="443"/>
      <c r="AK81" s="443"/>
      <c r="AL81" s="443"/>
      <c r="AM81" s="443"/>
      <c r="AN81" s="443"/>
      <c r="AO81" s="443"/>
      <c r="AP81" s="443"/>
      <c r="AQ81" s="443"/>
      <c r="AR81" s="443"/>
      <c r="AS81" s="443"/>
      <c r="AT81" s="443"/>
      <c r="AU81" s="1068"/>
      <c r="AV81" s="818"/>
      <c r="AW81" s="837"/>
      <c r="AX81" s="838"/>
      <c r="AY81" s="419"/>
    </row>
    <row r="82" spans="1:51" ht="14.1">
      <c r="A82" s="1327"/>
      <c r="B82" s="1274"/>
      <c r="C82" s="1088"/>
      <c r="D82" s="1104"/>
      <c r="E82" s="1093"/>
      <c r="F82" s="1113"/>
      <c r="G82" s="1276"/>
      <c r="H82" s="497" t="s">
        <v>25</v>
      </c>
      <c r="I82" s="564">
        <v>45748</v>
      </c>
      <c r="J82" s="212" t="s">
        <v>180</v>
      </c>
      <c r="K82" s="983"/>
      <c r="L82" s="397"/>
      <c r="M82" s="397"/>
      <c r="N82" s="397"/>
      <c r="O82" s="397"/>
      <c r="P82" s="397"/>
      <c r="Q82" s="428"/>
      <c r="R82" s="1059"/>
      <c r="S82" s="397"/>
      <c r="T82" s="397"/>
      <c r="U82" s="397"/>
      <c r="V82" s="397"/>
      <c r="W82" s="397"/>
      <c r="X82" s="397"/>
      <c r="Y82" s="552"/>
      <c r="Z82" s="397"/>
      <c r="AA82" s="397"/>
      <c r="AB82" s="397"/>
      <c r="AC82" s="397"/>
      <c r="AD82" s="397"/>
      <c r="AE82" s="988"/>
      <c r="AF82" s="1059"/>
      <c r="AG82" s="397"/>
      <c r="AH82" s="397"/>
      <c r="AI82" s="397"/>
      <c r="AJ82" s="397"/>
      <c r="AK82" s="397"/>
      <c r="AL82" s="397"/>
      <c r="AM82" s="397"/>
      <c r="AN82" s="397"/>
      <c r="AO82" s="397"/>
      <c r="AP82" s="397"/>
      <c r="AQ82" s="397"/>
      <c r="AR82" s="397"/>
      <c r="AS82" s="397"/>
      <c r="AT82" s="397"/>
      <c r="AU82" s="1069"/>
      <c r="AV82" s="825"/>
      <c r="AW82" s="802"/>
      <c r="AX82" s="938"/>
      <c r="AY82" s="419"/>
    </row>
    <row r="83" spans="1:51">
      <c r="A83" s="1327"/>
      <c r="B83" s="1274"/>
      <c r="C83" s="1088"/>
      <c r="D83" s="1104"/>
      <c r="E83" s="1093"/>
      <c r="F83" s="1113"/>
      <c r="G83" s="1276"/>
      <c r="H83" s="497" t="s">
        <v>27</v>
      </c>
      <c r="I83" s="564">
        <v>45839</v>
      </c>
      <c r="J83" s="212" t="s">
        <v>181</v>
      </c>
      <c r="K83" s="983"/>
      <c r="L83" s="397"/>
      <c r="M83" s="397"/>
      <c r="N83" s="397"/>
      <c r="O83" s="397"/>
      <c r="P83" s="397"/>
      <c r="Q83" s="428"/>
      <c r="R83" s="1059"/>
      <c r="S83" s="397"/>
      <c r="T83" s="397"/>
      <c r="U83" s="397"/>
      <c r="V83" s="397"/>
      <c r="W83" s="397"/>
      <c r="X83" s="397"/>
      <c r="Y83" s="552"/>
      <c r="Z83" s="397"/>
      <c r="AA83" s="397"/>
      <c r="AB83" s="397"/>
      <c r="AC83" s="397"/>
      <c r="AD83" s="397"/>
      <c r="AE83" s="428"/>
      <c r="AF83" s="1059"/>
      <c r="AG83" s="397"/>
      <c r="AH83" s="397"/>
      <c r="AI83" s="397"/>
      <c r="AJ83" s="397"/>
      <c r="AK83" s="397"/>
      <c r="AL83" s="397"/>
      <c r="AM83" s="397"/>
      <c r="AN83" s="397"/>
      <c r="AO83" s="397"/>
      <c r="AP83" s="397"/>
      <c r="AQ83" s="397"/>
      <c r="AR83" s="397"/>
      <c r="AS83" s="397"/>
      <c r="AT83" s="397"/>
      <c r="AU83" s="1069"/>
      <c r="AV83" s="825"/>
      <c r="AW83" s="802"/>
      <c r="AX83" s="806"/>
      <c r="AY83" s="419"/>
    </row>
    <row r="84" spans="1:51" ht="14.1" thickBot="1">
      <c r="A84" s="1328"/>
      <c r="B84" s="1275"/>
      <c r="C84" s="1088"/>
      <c r="D84" s="1104"/>
      <c r="E84" s="1094"/>
      <c r="F84" s="1113"/>
      <c r="G84" s="1214"/>
      <c r="H84" s="373" t="s">
        <v>30</v>
      </c>
      <c r="I84" s="570">
        <v>45931</v>
      </c>
      <c r="J84" s="229"/>
      <c r="K84" s="986"/>
      <c r="L84" s="434"/>
      <c r="M84" s="434"/>
      <c r="N84" s="434"/>
      <c r="O84" s="434"/>
      <c r="P84" s="434"/>
      <c r="Q84" s="428"/>
      <c r="R84" s="1059"/>
      <c r="S84" s="434"/>
      <c r="T84" s="434"/>
      <c r="U84" s="434"/>
      <c r="V84" s="434"/>
      <c r="W84" s="434"/>
      <c r="X84" s="434"/>
      <c r="Y84" s="574"/>
      <c r="Z84" s="434"/>
      <c r="AA84" s="434"/>
      <c r="AB84" s="434"/>
      <c r="AC84" s="434"/>
      <c r="AD84" s="434"/>
      <c r="AE84" s="428"/>
      <c r="AF84" s="1059"/>
      <c r="AG84" s="434"/>
      <c r="AH84" s="434"/>
      <c r="AI84" s="434"/>
      <c r="AJ84" s="434"/>
      <c r="AK84" s="434"/>
      <c r="AL84" s="434"/>
      <c r="AM84" s="434"/>
      <c r="AN84" s="434"/>
      <c r="AO84" s="434"/>
      <c r="AP84" s="434"/>
      <c r="AQ84" s="434"/>
      <c r="AR84" s="434"/>
      <c r="AS84" s="434"/>
      <c r="AT84" s="434"/>
      <c r="AU84" s="1069"/>
      <c r="AV84" s="825"/>
      <c r="AW84" s="802"/>
      <c r="AX84" s="806"/>
      <c r="AY84" s="419"/>
    </row>
    <row r="85" spans="1:51">
      <c r="A85" s="1326">
        <v>25</v>
      </c>
      <c r="B85" s="1273" t="s">
        <v>182</v>
      </c>
      <c r="C85" s="1087" t="s">
        <v>175</v>
      </c>
      <c r="D85" s="1103">
        <v>0</v>
      </c>
      <c r="E85" s="1092" t="s">
        <v>176</v>
      </c>
      <c r="F85" s="1095" t="s">
        <v>21</v>
      </c>
      <c r="G85" s="1239" t="s">
        <v>177</v>
      </c>
      <c r="H85" s="490" t="s">
        <v>23</v>
      </c>
      <c r="I85" s="558">
        <v>45658</v>
      </c>
      <c r="J85" s="201" t="s">
        <v>183</v>
      </c>
      <c r="K85" s="975"/>
      <c r="L85" s="443"/>
      <c r="M85" s="443"/>
      <c r="N85" s="443"/>
      <c r="O85" s="443"/>
      <c r="P85" s="443"/>
      <c r="Q85" s="940"/>
      <c r="R85" s="1060"/>
      <c r="S85" s="443"/>
      <c r="T85" s="443"/>
      <c r="U85" s="443"/>
      <c r="V85" s="443"/>
      <c r="W85" s="443"/>
      <c r="X85" s="443"/>
      <c r="Y85" s="542"/>
      <c r="Z85" s="443"/>
      <c r="AA85" s="443"/>
      <c r="AB85" s="443"/>
      <c r="AC85" s="443"/>
      <c r="AD85" s="443"/>
      <c r="AE85" s="981"/>
      <c r="AF85" s="1060"/>
      <c r="AG85" s="443"/>
      <c r="AH85" s="443"/>
      <c r="AI85" s="443"/>
      <c r="AJ85" s="443"/>
      <c r="AK85" s="443"/>
      <c r="AL85" s="443"/>
      <c r="AM85" s="443"/>
      <c r="AN85" s="443"/>
      <c r="AO85" s="443"/>
      <c r="AP85" s="443"/>
      <c r="AQ85" s="443"/>
      <c r="AR85" s="443"/>
      <c r="AS85" s="443"/>
      <c r="AT85" s="443"/>
      <c r="AU85" s="1068"/>
      <c r="AV85" s="818"/>
      <c r="AW85" s="837"/>
      <c r="AX85" s="838"/>
      <c r="AY85" s="419"/>
    </row>
    <row r="86" spans="1:51" ht="14.1">
      <c r="A86" s="1327"/>
      <c r="B86" s="1274"/>
      <c r="C86" s="1088"/>
      <c r="D86" s="1104"/>
      <c r="E86" s="1093"/>
      <c r="F86" s="1096"/>
      <c r="G86" s="1276"/>
      <c r="H86" s="497" t="s">
        <v>25</v>
      </c>
      <c r="I86" s="564">
        <v>45748</v>
      </c>
      <c r="J86" s="212" t="s">
        <v>184</v>
      </c>
      <c r="K86" s="983"/>
      <c r="L86" s="397"/>
      <c r="M86" s="397"/>
      <c r="N86" s="397"/>
      <c r="O86" s="397"/>
      <c r="P86" s="397"/>
      <c r="Q86" s="428"/>
      <c r="R86" s="1059"/>
      <c r="S86" s="397"/>
      <c r="T86" s="397"/>
      <c r="U86" s="397"/>
      <c r="V86" s="397"/>
      <c r="W86" s="397"/>
      <c r="X86" s="397"/>
      <c r="Y86" s="552"/>
      <c r="Z86" s="397"/>
      <c r="AA86" s="397"/>
      <c r="AB86" s="397"/>
      <c r="AC86" s="397"/>
      <c r="AD86" s="397"/>
      <c r="AE86" s="988"/>
      <c r="AF86" s="1059"/>
      <c r="AG86" s="397"/>
      <c r="AH86" s="397"/>
      <c r="AI86" s="397"/>
      <c r="AJ86" s="397"/>
      <c r="AK86" s="397"/>
      <c r="AL86" s="397"/>
      <c r="AM86" s="397"/>
      <c r="AN86" s="397"/>
      <c r="AO86" s="397"/>
      <c r="AP86" s="397"/>
      <c r="AQ86" s="397"/>
      <c r="AR86" s="397"/>
      <c r="AS86" s="397"/>
      <c r="AT86" s="397"/>
      <c r="AU86" s="1069"/>
      <c r="AV86" s="825"/>
      <c r="AW86" s="802"/>
      <c r="AX86" s="826"/>
      <c r="AY86" s="419"/>
    </row>
    <row r="87" spans="1:51">
      <c r="A87" s="1327"/>
      <c r="B87" s="1274"/>
      <c r="C87" s="1088"/>
      <c r="D87" s="1104"/>
      <c r="E87" s="1093"/>
      <c r="F87" s="1096"/>
      <c r="G87" s="1276"/>
      <c r="H87" s="497" t="s">
        <v>27</v>
      </c>
      <c r="I87" s="564">
        <v>45839</v>
      </c>
      <c r="J87" s="212" t="s">
        <v>181</v>
      </c>
      <c r="K87" s="983"/>
      <c r="L87" s="397"/>
      <c r="M87" s="397"/>
      <c r="N87" s="397"/>
      <c r="O87" s="397"/>
      <c r="P87" s="397"/>
      <c r="Q87" s="428"/>
      <c r="R87" s="1059"/>
      <c r="S87" s="397"/>
      <c r="T87" s="397"/>
      <c r="U87" s="397"/>
      <c r="V87" s="397"/>
      <c r="W87" s="397"/>
      <c r="X87" s="397"/>
      <c r="Y87" s="552"/>
      <c r="Z87" s="397"/>
      <c r="AA87" s="397"/>
      <c r="AB87" s="397"/>
      <c r="AC87" s="397"/>
      <c r="AD87" s="397"/>
      <c r="AE87" s="428"/>
      <c r="AF87" s="1059"/>
      <c r="AG87" s="397"/>
      <c r="AH87" s="397"/>
      <c r="AI87" s="397"/>
      <c r="AJ87" s="397"/>
      <c r="AK87" s="397"/>
      <c r="AL87" s="397"/>
      <c r="AM87" s="397"/>
      <c r="AN87" s="397"/>
      <c r="AO87" s="397"/>
      <c r="AP87" s="397"/>
      <c r="AQ87" s="397"/>
      <c r="AR87" s="397"/>
      <c r="AS87" s="397"/>
      <c r="AT87" s="397"/>
      <c r="AU87" s="1069"/>
      <c r="AV87" s="825"/>
      <c r="AW87" s="802"/>
      <c r="AX87" s="806"/>
      <c r="AY87" s="419"/>
    </row>
    <row r="88" spans="1:51" ht="14.1" thickBot="1">
      <c r="A88" s="1328"/>
      <c r="B88" s="1275"/>
      <c r="C88" s="1088"/>
      <c r="D88" s="1104"/>
      <c r="E88" s="1094"/>
      <c r="F88" s="1096"/>
      <c r="G88" s="1214"/>
      <c r="H88" s="373" t="s">
        <v>30</v>
      </c>
      <c r="I88" s="570">
        <v>45931</v>
      </c>
      <c r="J88" s="229"/>
      <c r="K88" s="986"/>
      <c r="L88" s="434"/>
      <c r="M88" s="434"/>
      <c r="N88" s="434"/>
      <c r="O88" s="434"/>
      <c r="P88" s="434"/>
      <c r="Q88" s="428"/>
      <c r="R88" s="1059"/>
      <c r="S88" s="434"/>
      <c r="T88" s="434"/>
      <c r="U88" s="434"/>
      <c r="V88" s="434"/>
      <c r="W88" s="434"/>
      <c r="X88" s="434"/>
      <c r="Y88" s="574"/>
      <c r="Z88" s="434"/>
      <c r="AA88" s="434"/>
      <c r="AB88" s="434"/>
      <c r="AC88" s="434"/>
      <c r="AD88" s="434"/>
      <c r="AE88" s="428"/>
      <c r="AF88" s="1059"/>
      <c r="AG88" s="434"/>
      <c r="AH88" s="434"/>
      <c r="AI88" s="434"/>
      <c r="AJ88" s="434"/>
      <c r="AK88" s="434"/>
      <c r="AL88" s="434"/>
      <c r="AM88" s="434"/>
      <c r="AN88" s="434"/>
      <c r="AO88" s="434"/>
      <c r="AP88" s="434"/>
      <c r="AQ88" s="434"/>
      <c r="AR88" s="434"/>
      <c r="AS88" s="434"/>
      <c r="AT88" s="434"/>
      <c r="AU88" s="1069"/>
      <c r="AV88" s="825"/>
      <c r="AW88" s="802"/>
      <c r="AX88" s="806"/>
      <c r="AY88" s="419"/>
    </row>
    <row r="89" spans="1:51">
      <c r="A89" s="1326">
        <v>26</v>
      </c>
      <c r="B89" s="1273" t="s">
        <v>185</v>
      </c>
      <c r="C89" s="1087" t="s">
        <v>175</v>
      </c>
      <c r="D89" s="1105">
        <v>0</v>
      </c>
      <c r="E89" s="1092" t="s">
        <v>186</v>
      </c>
      <c r="F89" s="1112" t="s">
        <v>21</v>
      </c>
      <c r="G89" s="1239" t="s">
        <v>177</v>
      </c>
      <c r="H89" s="490" t="s">
        <v>23</v>
      </c>
      <c r="I89" s="558">
        <v>45658</v>
      </c>
      <c r="J89" s="201" t="s">
        <v>187</v>
      </c>
      <c r="K89" s="975"/>
      <c r="L89" s="443"/>
      <c r="M89" s="443"/>
      <c r="N89" s="443"/>
      <c r="O89" s="443"/>
      <c r="P89" s="443"/>
      <c r="Q89" s="575"/>
      <c r="R89" s="439"/>
      <c r="S89" s="443"/>
      <c r="T89" s="443"/>
      <c r="U89" s="443"/>
      <c r="V89" s="1050"/>
      <c r="W89" s="443"/>
      <c r="X89" s="443"/>
      <c r="Y89" s="542"/>
      <c r="Z89" s="443"/>
      <c r="AA89" s="443"/>
      <c r="AB89" s="443"/>
      <c r="AC89" s="443"/>
      <c r="AD89" s="443"/>
      <c r="AE89" s="575"/>
      <c r="AF89" s="439"/>
      <c r="AG89" s="443"/>
      <c r="AH89" s="443"/>
      <c r="AI89" s="443"/>
      <c r="AJ89" s="443"/>
      <c r="AK89" s="443"/>
      <c r="AL89" s="443"/>
      <c r="AM89" s="443"/>
      <c r="AN89" s="443"/>
      <c r="AO89" s="443"/>
      <c r="AP89" s="443"/>
      <c r="AQ89" s="443"/>
      <c r="AR89" s="443"/>
      <c r="AS89" s="443"/>
      <c r="AT89" s="443"/>
      <c r="AU89" s="1068"/>
      <c r="AV89" s="818"/>
      <c r="AW89" s="837"/>
      <c r="AX89" s="838"/>
      <c r="AY89" s="419"/>
    </row>
    <row r="90" spans="1:51" ht="14.1">
      <c r="A90" s="1327"/>
      <c r="B90" s="1274"/>
      <c r="C90" s="1088"/>
      <c r="D90" s="1106"/>
      <c r="E90" s="1093"/>
      <c r="F90" s="1113"/>
      <c r="G90" s="1276"/>
      <c r="H90" s="497" t="s">
        <v>25</v>
      </c>
      <c r="I90" s="564">
        <v>45748</v>
      </c>
      <c r="J90" s="212" t="s">
        <v>189</v>
      </c>
      <c r="K90" s="983"/>
      <c r="L90" s="397"/>
      <c r="M90" s="397"/>
      <c r="N90" s="397"/>
      <c r="O90" s="397"/>
      <c r="P90" s="397"/>
      <c r="Q90" s="577"/>
      <c r="R90" s="422"/>
      <c r="S90" s="397"/>
      <c r="T90" s="397"/>
      <c r="U90" s="397"/>
      <c r="V90" s="1051"/>
      <c r="W90" s="397"/>
      <c r="X90" s="397"/>
      <c r="Y90" s="552"/>
      <c r="Z90" s="397"/>
      <c r="AA90" s="397"/>
      <c r="AB90" s="397"/>
      <c r="AC90" s="397"/>
      <c r="AD90" s="397"/>
      <c r="AE90" s="577"/>
      <c r="AF90" s="422"/>
      <c r="AG90" s="397"/>
      <c r="AH90" s="397"/>
      <c r="AI90" s="397"/>
      <c r="AJ90" s="397"/>
      <c r="AK90" s="397"/>
      <c r="AL90" s="397"/>
      <c r="AM90" s="397"/>
      <c r="AN90" s="397"/>
      <c r="AO90" s="397"/>
      <c r="AP90" s="397"/>
      <c r="AQ90" s="397"/>
      <c r="AR90" s="397"/>
      <c r="AS90" s="397"/>
      <c r="AT90" s="397"/>
      <c r="AU90" s="1069"/>
      <c r="AV90" s="825"/>
      <c r="AW90" s="802"/>
      <c r="AX90" s="804"/>
      <c r="AY90" s="419"/>
    </row>
    <row r="91" spans="1:51">
      <c r="A91" s="1327"/>
      <c r="B91" s="1274"/>
      <c r="C91" s="1088"/>
      <c r="D91" s="1106"/>
      <c r="E91" s="1093"/>
      <c r="F91" s="1113"/>
      <c r="G91" s="1276"/>
      <c r="H91" s="497" t="s">
        <v>27</v>
      </c>
      <c r="I91" s="564">
        <v>45839</v>
      </c>
      <c r="J91" s="212" t="s">
        <v>190</v>
      </c>
      <c r="K91" s="983"/>
      <c r="L91" s="397"/>
      <c r="M91" s="397"/>
      <c r="N91" s="397"/>
      <c r="O91" s="397"/>
      <c r="P91" s="397"/>
      <c r="Q91" s="577"/>
      <c r="R91" s="422"/>
      <c r="S91" s="397"/>
      <c r="T91" s="397"/>
      <c r="U91" s="397"/>
      <c r="V91" s="1051"/>
      <c r="W91" s="397"/>
      <c r="X91" s="397"/>
      <c r="Y91" s="552"/>
      <c r="Z91" s="397"/>
      <c r="AA91" s="397"/>
      <c r="AB91" s="397"/>
      <c r="AC91" s="397"/>
      <c r="AD91" s="397"/>
      <c r="AE91" s="577"/>
      <c r="AF91" s="422"/>
      <c r="AG91" s="397"/>
      <c r="AH91" s="397"/>
      <c r="AI91" s="397"/>
      <c r="AJ91" s="397"/>
      <c r="AK91" s="397"/>
      <c r="AL91" s="397"/>
      <c r="AM91" s="397"/>
      <c r="AN91" s="397"/>
      <c r="AO91" s="397"/>
      <c r="AP91" s="397"/>
      <c r="AQ91" s="397"/>
      <c r="AR91" s="397"/>
      <c r="AS91" s="397"/>
      <c r="AT91" s="397"/>
      <c r="AU91" s="1069"/>
      <c r="AV91" s="825"/>
      <c r="AW91" s="802"/>
      <c r="AX91" s="806"/>
      <c r="AY91" s="419"/>
    </row>
    <row r="92" spans="1:51" ht="14.1" thickBot="1">
      <c r="A92" s="1328"/>
      <c r="B92" s="1275"/>
      <c r="C92" s="1088"/>
      <c r="D92" s="1107"/>
      <c r="E92" s="1094"/>
      <c r="F92" s="1113"/>
      <c r="G92" s="1214"/>
      <c r="H92" s="373" t="s">
        <v>30</v>
      </c>
      <c r="I92" s="570">
        <v>45931</v>
      </c>
      <c r="J92" s="229"/>
      <c r="K92" s="986"/>
      <c r="L92" s="434"/>
      <c r="M92" s="434"/>
      <c r="N92" s="434"/>
      <c r="O92" s="434"/>
      <c r="P92" s="434"/>
      <c r="Q92" s="371"/>
      <c r="R92" s="433"/>
      <c r="S92" s="434"/>
      <c r="T92" s="434"/>
      <c r="U92" s="434"/>
      <c r="V92" s="1051"/>
      <c r="W92" s="434"/>
      <c r="X92" s="434"/>
      <c r="Y92" s="574"/>
      <c r="Z92" s="434"/>
      <c r="AA92" s="434"/>
      <c r="AB92" s="434"/>
      <c r="AC92" s="434"/>
      <c r="AD92" s="434"/>
      <c r="AE92" s="371"/>
      <c r="AF92" s="433"/>
      <c r="AG92" s="434"/>
      <c r="AH92" s="434"/>
      <c r="AI92" s="434"/>
      <c r="AJ92" s="434"/>
      <c r="AK92" s="434"/>
      <c r="AL92" s="434"/>
      <c r="AM92" s="434"/>
      <c r="AN92" s="434"/>
      <c r="AO92" s="434"/>
      <c r="AP92" s="434"/>
      <c r="AQ92" s="434"/>
      <c r="AR92" s="434"/>
      <c r="AS92" s="434"/>
      <c r="AT92" s="434"/>
      <c r="AU92" s="1069"/>
      <c r="AV92" s="825"/>
      <c r="AW92" s="802"/>
      <c r="AX92" s="806"/>
      <c r="AY92" s="419"/>
    </row>
    <row r="93" spans="1:51">
      <c r="A93" s="1326">
        <v>27</v>
      </c>
      <c r="B93" s="1273" t="s">
        <v>191</v>
      </c>
      <c r="C93" s="1087" t="s">
        <v>192</v>
      </c>
      <c r="D93" s="1105">
        <v>0</v>
      </c>
      <c r="E93" s="1092" t="s">
        <v>186</v>
      </c>
      <c r="F93" s="1112" t="s">
        <v>21</v>
      </c>
      <c r="G93" s="1239" t="s">
        <v>177</v>
      </c>
      <c r="H93" s="490" t="s">
        <v>23</v>
      </c>
      <c r="I93" s="558">
        <v>45658</v>
      </c>
      <c r="J93" s="201" t="s">
        <v>193</v>
      </c>
      <c r="K93" s="975"/>
      <c r="L93" s="443"/>
      <c r="M93" s="443"/>
      <c r="N93" s="443"/>
      <c r="O93" s="443"/>
      <c r="P93" s="443"/>
      <c r="Q93" s="575"/>
      <c r="R93" s="439"/>
      <c r="S93" s="443"/>
      <c r="T93" s="443"/>
      <c r="U93" s="443"/>
      <c r="V93" s="443"/>
      <c r="W93" s="579"/>
      <c r="X93" s="443"/>
      <c r="Y93" s="579"/>
      <c r="Z93" s="443"/>
      <c r="AA93" s="443"/>
      <c r="AB93" s="443"/>
      <c r="AC93" s="443"/>
      <c r="AD93" s="443"/>
      <c r="AE93" s="575"/>
      <c r="AF93" s="439"/>
      <c r="AG93" s="443"/>
      <c r="AH93" s="443"/>
      <c r="AI93" s="443"/>
      <c r="AJ93" s="443"/>
      <c r="AK93" s="443"/>
      <c r="AL93" s="443"/>
      <c r="AM93" s="443"/>
      <c r="AN93" s="443"/>
      <c r="AO93" s="443"/>
      <c r="AP93" s="443"/>
      <c r="AQ93" s="443"/>
      <c r="AR93" s="443"/>
      <c r="AS93" s="443"/>
      <c r="AT93" s="443"/>
      <c r="AU93" s="1068"/>
      <c r="AV93" s="818"/>
      <c r="AW93" s="837"/>
      <c r="AX93" s="838"/>
      <c r="AY93" s="419"/>
    </row>
    <row r="94" spans="1:51" ht="14.1">
      <c r="A94" s="1327"/>
      <c r="B94" s="1274"/>
      <c r="C94" s="1088"/>
      <c r="D94" s="1106"/>
      <c r="E94" s="1093"/>
      <c r="F94" s="1113"/>
      <c r="G94" s="1276"/>
      <c r="H94" s="497" t="s">
        <v>25</v>
      </c>
      <c r="I94" s="564">
        <v>45748</v>
      </c>
      <c r="J94" s="212" t="s">
        <v>194</v>
      </c>
      <c r="K94" s="983"/>
      <c r="L94" s="397"/>
      <c r="M94" s="397"/>
      <c r="N94" s="397"/>
      <c r="O94" s="397"/>
      <c r="P94" s="397"/>
      <c r="Q94" s="577"/>
      <c r="R94" s="422"/>
      <c r="S94" s="397"/>
      <c r="T94" s="397"/>
      <c r="U94" s="397"/>
      <c r="V94" s="397"/>
      <c r="W94" s="989"/>
      <c r="X94" s="397"/>
      <c r="Y94" s="552"/>
      <c r="Z94" s="397"/>
      <c r="AA94" s="397"/>
      <c r="AB94" s="397"/>
      <c r="AC94" s="397"/>
      <c r="AD94" s="397"/>
      <c r="AE94" s="577"/>
      <c r="AF94" s="422"/>
      <c r="AG94" s="990"/>
      <c r="AH94" s="397"/>
      <c r="AI94" s="991"/>
      <c r="AJ94" s="397"/>
      <c r="AK94" s="397"/>
      <c r="AL94" s="397"/>
      <c r="AM94" s="397"/>
      <c r="AN94" s="397"/>
      <c r="AO94" s="397"/>
      <c r="AP94" s="397"/>
      <c r="AQ94" s="397"/>
      <c r="AR94" s="397"/>
      <c r="AS94" s="397"/>
      <c r="AT94" s="397"/>
      <c r="AU94" s="1069"/>
      <c r="AV94" s="825"/>
      <c r="AW94" s="802"/>
      <c r="AX94" s="826"/>
      <c r="AY94" s="419"/>
    </row>
    <row r="95" spans="1:51">
      <c r="A95" s="1327"/>
      <c r="B95" s="1274"/>
      <c r="C95" s="1088"/>
      <c r="D95" s="1106"/>
      <c r="E95" s="1093"/>
      <c r="F95" s="1113"/>
      <c r="G95" s="1276"/>
      <c r="H95" s="497" t="s">
        <v>27</v>
      </c>
      <c r="I95" s="564">
        <v>45839</v>
      </c>
      <c r="J95" s="212" t="s">
        <v>190</v>
      </c>
      <c r="K95" s="983"/>
      <c r="L95" s="397"/>
      <c r="M95" s="397"/>
      <c r="N95" s="397"/>
      <c r="O95" s="397"/>
      <c r="P95" s="397"/>
      <c r="Q95" s="577"/>
      <c r="R95" s="422"/>
      <c r="S95" s="397"/>
      <c r="T95" s="397"/>
      <c r="U95" s="397"/>
      <c r="V95" s="397"/>
      <c r="W95" s="397"/>
      <c r="X95" s="397"/>
      <c r="Y95" s="552"/>
      <c r="Z95" s="397"/>
      <c r="AA95" s="397"/>
      <c r="AB95" s="397"/>
      <c r="AC95" s="397"/>
      <c r="AD95" s="397"/>
      <c r="AE95" s="577"/>
      <c r="AF95" s="422"/>
      <c r="AG95" s="397"/>
      <c r="AH95" s="397"/>
      <c r="AI95" s="397"/>
      <c r="AJ95" s="397"/>
      <c r="AK95" s="397"/>
      <c r="AL95" s="397"/>
      <c r="AM95" s="397"/>
      <c r="AN95" s="397"/>
      <c r="AO95" s="397"/>
      <c r="AP95" s="397"/>
      <c r="AQ95" s="397"/>
      <c r="AR95" s="397"/>
      <c r="AS95" s="397"/>
      <c r="AT95" s="397"/>
      <c r="AU95" s="1069"/>
      <c r="AV95" s="825"/>
      <c r="AW95" s="802"/>
      <c r="AX95" s="806"/>
      <c r="AY95" s="419"/>
    </row>
    <row r="96" spans="1:51" ht="14.1" thickBot="1">
      <c r="A96" s="1328"/>
      <c r="B96" s="1275"/>
      <c r="C96" s="1088"/>
      <c r="D96" s="1107"/>
      <c r="E96" s="1094"/>
      <c r="F96" s="1113"/>
      <c r="G96" s="1214"/>
      <c r="H96" s="373" t="s">
        <v>30</v>
      </c>
      <c r="I96" s="570">
        <v>45931</v>
      </c>
      <c r="J96" s="229"/>
      <c r="K96" s="986"/>
      <c r="L96" s="434"/>
      <c r="M96" s="434"/>
      <c r="N96" s="434"/>
      <c r="O96" s="434"/>
      <c r="P96" s="434"/>
      <c r="Q96" s="371"/>
      <c r="R96" s="433"/>
      <c r="S96" s="434"/>
      <c r="T96" s="434"/>
      <c r="U96" s="434"/>
      <c r="V96" s="434"/>
      <c r="W96" s="434"/>
      <c r="X96" s="434"/>
      <c r="Y96" s="574"/>
      <c r="Z96" s="434"/>
      <c r="AA96" s="434"/>
      <c r="AB96" s="434"/>
      <c r="AC96" s="434"/>
      <c r="AD96" s="434"/>
      <c r="AE96" s="371"/>
      <c r="AF96" s="433"/>
      <c r="AG96" s="434"/>
      <c r="AH96" s="434"/>
      <c r="AI96" s="434"/>
      <c r="AJ96" s="434"/>
      <c r="AK96" s="434"/>
      <c r="AL96" s="434"/>
      <c r="AM96" s="434"/>
      <c r="AN96" s="434"/>
      <c r="AO96" s="434"/>
      <c r="AP96" s="434"/>
      <c r="AQ96" s="434"/>
      <c r="AR96" s="434"/>
      <c r="AS96" s="434"/>
      <c r="AT96" s="434"/>
      <c r="AU96" s="1069"/>
      <c r="AV96" s="825"/>
      <c r="AW96" s="802"/>
      <c r="AX96" s="806"/>
      <c r="AY96" s="419"/>
    </row>
    <row r="97" spans="1:52">
      <c r="A97" s="1326">
        <v>28</v>
      </c>
      <c r="B97" s="1329" t="s">
        <v>196</v>
      </c>
      <c r="C97" s="1085" t="s">
        <v>197</v>
      </c>
      <c r="D97" s="1105">
        <v>0</v>
      </c>
      <c r="E97" s="1092" t="s">
        <v>198</v>
      </c>
      <c r="F97" s="1112" t="s">
        <v>21</v>
      </c>
      <c r="G97" s="1239" t="s">
        <v>199</v>
      </c>
      <c r="H97" s="490" t="s">
        <v>23</v>
      </c>
      <c r="I97" s="558">
        <v>45658</v>
      </c>
      <c r="J97" s="201" t="s">
        <v>200</v>
      </c>
      <c r="K97" s="975"/>
      <c r="L97" s="443"/>
      <c r="M97" s="443"/>
      <c r="N97" s="443"/>
      <c r="O97" s="443"/>
      <c r="P97" s="443"/>
      <c r="Q97" s="575"/>
      <c r="R97" s="439"/>
      <c r="S97" s="443"/>
      <c r="T97" s="443"/>
      <c r="U97" s="443"/>
      <c r="V97" s="469"/>
      <c r="W97" s="528"/>
      <c r="X97" s="1114"/>
      <c r="Y97" s="579"/>
      <c r="Z97" s="443"/>
      <c r="AA97" s="443"/>
      <c r="AB97" s="443"/>
      <c r="AC97" s="443"/>
      <c r="AD97" s="443"/>
      <c r="AE97" s="575"/>
      <c r="AF97" s="439"/>
      <c r="AG97" s="443"/>
      <c r="AH97" s="443"/>
      <c r="AI97" s="443"/>
      <c r="AJ97" s="443"/>
      <c r="AK97" s="443"/>
      <c r="AL97" s="443"/>
      <c r="AM97" s="443"/>
      <c r="AN97" s="443"/>
      <c r="AO97" s="443"/>
      <c r="AP97" s="443"/>
      <c r="AQ97" s="443"/>
      <c r="AR97" s="443"/>
      <c r="AS97" s="443"/>
      <c r="AT97" s="443"/>
      <c r="AU97" s="1068"/>
      <c r="AV97" s="818"/>
      <c r="AW97" s="837"/>
      <c r="AX97" s="838"/>
      <c r="AY97" s="419"/>
    </row>
    <row r="98" spans="1:52" ht="14.1">
      <c r="A98" s="1327"/>
      <c r="B98" s="1330"/>
      <c r="C98" s="1086"/>
      <c r="D98" s="1106"/>
      <c r="E98" s="1093"/>
      <c r="F98" s="1113"/>
      <c r="G98" s="1276"/>
      <c r="H98" s="497" t="s">
        <v>25</v>
      </c>
      <c r="I98" s="564">
        <v>45748</v>
      </c>
      <c r="J98" s="212" t="s">
        <v>194</v>
      </c>
      <c r="K98" s="983"/>
      <c r="L98" s="397"/>
      <c r="M98" s="397"/>
      <c r="N98" s="397"/>
      <c r="O98" s="397"/>
      <c r="P98" s="397"/>
      <c r="Q98" s="577"/>
      <c r="R98" s="422"/>
      <c r="S98" s="397"/>
      <c r="T98" s="397"/>
      <c r="U98" s="397"/>
      <c r="V98" s="397"/>
      <c r="W98" s="992"/>
      <c r="X98" s="1051"/>
      <c r="Y98" s="552"/>
      <c r="Z98" s="397"/>
      <c r="AA98" s="397"/>
      <c r="AB98" s="397"/>
      <c r="AC98" s="397"/>
      <c r="AD98" s="397"/>
      <c r="AE98" s="577"/>
      <c r="AF98" s="422"/>
      <c r="AG98" s="397"/>
      <c r="AH98" s="397"/>
      <c r="AI98" s="397"/>
      <c r="AJ98" s="397"/>
      <c r="AK98" s="397"/>
      <c r="AL98" s="397"/>
      <c r="AM98" s="397"/>
      <c r="AN98" s="397"/>
      <c r="AO98" s="397"/>
      <c r="AP98" s="397"/>
      <c r="AQ98" s="397"/>
      <c r="AR98" s="397"/>
      <c r="AS98" s="397"/>
      <c r="AT98" s="397"/>
      <c r="AU98" s="1069"/>
      <c r="AV98" s="825"/>
      <c r="AW98" s="802"/>
      <c r="AX98" s="826"/>
      <c r="AY98" s="419"/>
    </row>
    <row r="99" spans="1:52">
      <c r="A99" s="1327"/>
      <c r="B99" s="1330"/>
      <c r="C99" s="1086"/>
      <c r="D99" s="1106"/>
      <c r="E99" s="1093"/>
      <c r="F99" s="1113"/>
      <c r="G99" s="1276"/>
      <c r="H99" s="497" t="s">
        <v>27</v>
      </c>
      <c r="I99" s="564">
        <v>45839</v>
      </c>
      <c r="J99" s="212" t="s">
        <v>190</v>
      </c>
      <c r="K99" s="983"/>
      <c r="L99" s="397"/>
      <c r="M99" s="397"/>
      <c r="N99" s="397"/>
      <c r="O99" s="397"/>
      <c r="P99" s="397"/>
      <c r="Q99" s="577"/>
      <c r="R99" s="422"/>
      <c r="S99" s="397"/>
      <c r="T99" s="397"/>
      <c r="U99" s="397"/>
      <c r="V99" s="397"/>
      <c r="W99" s="992"/>
      <c r="X99" s="1051"/>
      <c r="Y99" s="552"/>
      <c r="Z99" s="397"/>
      <c r="AA99" s="397"/>
      <c r="AB99" s="397"/>
      <c r="AC99" s="397"/>
      <c r="AD99" s="397"/>
      <c r="AE99" s="577"/>
      <c r="AF99" s="422"/>
      <c r="AG99" s="397"/>
      <c r="AH99" s="397"/>
      <c r="AI99" s="397"/>
      <c r="AJ99" s="397"/>
      <c r="AK99" s="397"/>
      <c r="AL99" s="397"/>
      <c r="AM99" s="397"/>
      <c r="AN99" s="397"/>
      <c r="AO99" s="397"/>
      <c r="AP99" s="397"/>
      <c r="AQ99" s="397"/>
      <c r="AR99" s="397"/>
      <c r="AS99" s="397"/>
      <c r="AT99" s="397"/>
      <c r="AU99" s="1069"/>
      <c r="AV99" s="825"/>
      <c r="AW99" s="802"/>
      <c r="AX99" s="806"/>
      <c r="AY99" s="419"/>
    </row>
    <row r="100" spans="1:52" ht="14.1" thickBot="1">
      <c r="A100" s="1328"/>
      <c r="B100" s="1331"/>
      <c r="C100" s="1086"/>
      <c r="D100" s="1107"/>
      <c r="E100" s="1094"/>
      <c r="F100" s="1113"/>
      <c r="G100" s="1214"/>
      <c r="H100" s="373" t="s">
        <v>30</v>
      </c>
      <c r="I100" s="570">
        <v>45931</v>
      </c>
      <c r="J100" s="229"/>
      <c r="K100" s="986"/>
      <c r="L100" s="434"/>
      <c r="M100" s="434"/>
      <c r="N100" s="434"/>
      <c r="O100" s="434"/>
      <c r="P100" s="434"/>
      <c r="Q100" s="371"/>
      <c r="R100" s="433"/>
      <c r="S100" s="434"/>
      <c r="T100" s="434"/>
      <c r="U100" s="434"/>
      <c r="V100" s="434"/>
      <c r="W100" s="992"/>
      <c r="X100" s="1051"/>
      <c r="Y100" s="574"/>
      <c r="Z100" s="434"/>
      <c r="AA100" s="434"/>
      <c r="AB100" s="434"/>
      <c r="AC100" s="434"/>
      <c r="AD100" s="434"/>
      <c r="AE100" s="371"/>
      <c r="AF100" s="433"/>
      <c r="AG100" s="434"/>
      <c r="AH100" s="434"/>
      <c r="AI100" s="434"/>
      <c r="AJ100" s="434"/>
      <c r="AK100" s="434"/>
      <c r="AL100" s="434"/>
      <c r="AM100" s="434"/>
      <c r="AN100" s="434"/>
      <c r="AO100" s="434"/>
      <c r="AP100" s="434"/>
      <c r="AQ100" s="434"/>
      <c r="AR100" s="434"/>
      <c r="AS100" s="434"/>
      <c r="AT100" s="434"/>
      <c r="AU100" s="1069"/>
      <c r="AV100" s="825"/>
      <c r="AW100" s="802"/>
      <c r="AX100" s="806"/>
      <c r="AY100" s="419"/>
    </row>
    <row r="101" spans="1:52" ht="15.75" customHeight="1" thickBot="1">
      <c r="A101" s="1340">
        <v>29</v>
      </c>
      <c r="B101" s="1343" t="s">
        <v>202</v>
      </c>
      <c r="C101" s="1110" t="s">
        <v>86</v>
      </c>
      <c r="D101" s="1097">
        <v>211250</v>
      </c>
      <c r="E101" s="1100" t="s">
        <v>778</v>
      </c>
      <c r="F101" s="1089" t="s">
        <v>21</v>
      </c>
      <c r="G101" s="1290" t="s">
        <v>103</v>
      </c>
      <c r="H101" s="510" t="s">
        <v>220</v>
      </c>
      <c r="I101" s="585">
        <v>46016</v>
      </c>
      <c r="J101" s="492" t="s">
        <v>204</v>
      </c>
      <c r="K101" s="993"/>
      <c r="L101" s="443"/>
      <c r="M101" s="443"/>
      <c r="N101" s="443"/>
      <c r="O101" s="443"/>
      <c r="P101" s="443"/>
      <c r="Q101" s="575"/>
      <c r="R101" s="439"/>
      <c r="S101" s="443"/>
      <c r="T101" s="443"/>
      <c r="U101" s="443"/>
      <c r="V101" s="469"/>
      <c r="W101" s="528"/>
      <c r="X101" s="982"/>
      <c r="Y101" s="579"/>
      <c r="Z101" s="443"/>
      <c r="AA101" s="443"/>
      <c r="AB101" s="1050"/>
      <c r="AC101" s="879"/>
      <c r="AD101" s="443"/>
      <c r="AE101" s="575"/>
      <c r="AF101" s="439"/>
      <c r="AG101" s="443"/>
      <c r="AH101" s="1050"/>
      <c r="AI101" s="579"/>
      <c r="AJ101" s="443"/>
      <c r="AK101" s="443"/>
      <c r="AL101" s="443"/>
      <c r="AM101" s="443"/>
      <c r="AN101" s="443"/>
      <c r="AO101" s="579"/>
      <c r="AP101" s="443"/>
      <c r="AQ101" s="443"/>
      <c r="AR101" s="443"/>
      <c r="AS101" s="443"/>
      <c r="AT101" s="443"/>
      <c r="AU101" s="1068"/>
      <c r="AV101" s="818"/>
      <c r="AW101" s="837"/>
      <c r="AX101" s="838"/>
      <c r="AY101" s="419"/>
    </row>
    <row r="102" spans="1:52" ht="14.4">
      <c r="A102" s="1341"/>
      <c r="B102" s="1336"/>
      <c r="C102" s="1111"/>
      <c r="D102" s="1098"/>
      <c r="E102" s="1101"/>
      <c r="F102" s="1090"/>
      <c r="G102" s="1243"/>
      <c r="H102" s="517" t="s">
        <v>25</v>
      </c>
      <c r="I102" s="587">
        <v>46106</v>
      </c>
      <c r="J102" s="188" t="s">
        <v>194</v>
      </c>
      <c r="K102" s="994"/>
      <c r="L102" s="397"/>
      <c r="M102" s="397"/>
      <c r="N102" s="397"/>
      <c r="O102" s="397"/>
      <c r="P102" s="397"/>
      <c r="Q102" s="577"/>
      <c r="R102" s="422"/>
      <c r="S102" s="397"/>
      <c r="T102" s="397"/>
      <c r="U102" s="397"/>
      <c r="V102" s="995"/>
      <c r="W102" s="502"/>
      <c r="X102" s="426"/>
      <c r="Y102" s="552"/>
      <c r="Z102" s="397"/>
      <c r="AA102" s="397"/>
      <c r="AB102" s="1051"/>
      <c r="AC102" s="882"/>
      <c r="AD102" s="996"/>
      <c r="AE102" s="577"/>
      <c r="AF102" s="422"/>
      <c r="AG102" s="991"/>
      <c r="AH102" s="1051"/>
      <c r="AI102" s="997"/>
      <c r="AJ102" s="397"/>
      <c r="AK102" s="397"/>
      <c r="AL102" s="397"/>
      <c r="AM102" s="991"/>
      <c r="AN102" s="397"/>
      <c r="AO102" s="997"/>
      <c r="AP102" s="397"/>
      <c r="AQ102" s="397"/>
      <c r="AR102" s="397"/>
      <c r="AS102" s="991"/>
      <c r="AT102" s="397"/>
      <c r="AU102" s="1069"/>
      <c r="AV102" s="825"/>
      <c r="AW102" s="802"/>
      <c r="AX102" s="826"/>
      <c r="AY102" s="998"/>
    </row>
    <row r="103" spans="1:52" ht="14.4">
      <c r="A103" s="1341"/>
      <c r="B103" s="1336"/>
      <c r="C103" s="1111"/>
      <c r="D103" s="1098"/>
      <c r="E103" s="1101"/>
      <c r="F103" s="1090"/>
      <c r="G103" s="1243"/>
      <c r="H103" s="517" t="s">
        <v>27</v>
      </c>
      <c r="I103" s="587">
        <v>46198</v>
      </c>
      <c r="J103" s="188" t="s">
        <v>205</v>
      </c>
      <c r="K103" s="994"/>
      <c r="L103" s="397"/>
      <c r="M103" s="397"/>
      <c r="N103" s="397"/>
      <c r="O103" s="397"/>
      <c r="P103" s="397"/>
      <c r="Q103" s="577"/>
      <c r="R103" s="422"/>
      <c r="S103" s="397"/>
      <c r="T103" s="397"/>
      <c r="U103" s="397"/>
      <c r="V103" s="995"/>
      <c r="W103" s="502"/>
      <c r="X103" s="426"/>
      <c r="Y103" s="552"/>
      <c r="Z103" s="397"/>
      <c r="AA103" s="450"/>
      <c r="AB103" s="1051"/>
      <c r="AC103" s="882"/>
      <c r="AD103" s="397"/>
      <c r="AE103" s="577"/>
      <c r="AF103" s="422"/>
      <c r="AG103" s="397"/>
      <c r="AH103" s="1052"/>
      <c r="AI103" s="889"/>
      <c r="AJ103" s="397"/>
      <c r="AK103" s="397"/>
      <c r="AL103" s="397"/>
      <c r="AM103" s="397"/>
      <c r="AN103" s="397"/>
      <c r="AO103" s="889"/>
      <c r="AP103" s="397"/>
      <c r="AQ103" s="397"/>
      <c r="AR103" s="397"/>
      <c r="AS103" s="397"/>
      <c r="AT103" s="397"/>
      <c r="AU103" s="1069"/>
      <c r="AV103" s="825"/>
      <c r="AW103" s="802"/>
      <c r="AX103" s="806"/>
      <c r="AY103" s="999"/>
    </row>
    <row r="104" spans="1:52" ht="14.7" thickBot="1">
      <c r="A104" s="1348"/>
      <c r="B104" s="1349"/>
      <c r="C104" s="1111"/>
      <c r="D104" s="1099"/>
      <c r="E104" s="1102"/>
      <c r="F104" s="1091"/>
      <c r="G104" s="1244"/>
      <c r="H104" s="519" t="s">
        <v>30</v>
      </c>
      <c r="I104" s="556">
        <v>46290</v>
      </c>
      <c r="J104" s="198">
        <v>0</v>
      </c>
      <c r="K104" s="1000"/>
      <c r="L104" s="434"/>
      <c r="M104" s="434"/>
      <c r="N104" s="434"/>
      <c r="O104" s="434"/>
      <c r="P104" s="434"/>
      <c r="Q104" s="371"/>
      <c r="R104" s="433"/>
      <c r="S104" s="434"/>
      <c r="T104" s="434"/>
      <c r="U104" s="434"/>
      <c r="V104" s="1001"/>
      <c r="W104" s="593"/>
      <c r="X104" s="437"/>
      <c r="Y104" s="574"/>
      <c r="Z104" s="434"/>
      <c r="AA104" s="434"/>
      <c r="AB104" s="1115"/>
      <c r="AC104" s="1002"/>
      <c r="AD104" s="434"/>
      <c r="AE104" s="371"/>
      <c r="AF104" s="433"/>
      <c r="AG104" s="434"/>
      <c r="AH104" s="1053"/>
      <c r="AI104" s="889"/>
      <c r="AJ104" s="434"/>
      <c r="AK104" s="434"/>
      <c r="AL104" s="434"/>
      <c r="AM104" s="434"/>
      <c r="AN104" s="434"/>
      <c r="AO104" s="889"/>
      <c r="AP104" s="434"/>
      <c r="AQ104" s="434"/>
      <c r="AR104" s="434"/>
      <c r="AS104" s="434"/>
      <c r="AT104" s="434"/>
      <c r="AU104" s="1069"/>
      <c r="AV104" s="825"/>
      <c r="AW104" s="802"/>
      <c r="AX104" s="806"/>
      <c r="AY104" s="999"/>
    </row>
    <row r="105" spans="1:52" ht="15" customHeight="1">
      <c r="A105" s="1332">
        <v>30</v>
      </c>
      <c r="B105" s="1335" t="s">
        <v>206</v>
      </c>
      <c r="C105" s="1338" t="s">
        <v>207</v>
      </c>
      <c r="D105" s="1351">
        <v>953282</v>
      </c>
      <c r="E105" s="1353" t="s">
        <v>208</v>
      </c>
      <c r="F105" s="1310" t="s">
        <v>21</v>
      </c>
      <c r="G105" s="1312" t="s">
        <v>22</v>
      </c>
      <c r="H105" s="667" t="s">
        <v>23</v>
      </c>
      <c r="I105" s="668">
        <v>46016</v>
      </c>
      <c r="J105" s="669" t="s">
        <v>209</v>
      </c>
      <c r="K105" s="1003"/>
      <c r="L105" s="412"/>
      <c r="M105" s="412"/>
      <c r="N105" s="412"/>
      <c r="O105" s="412"/>
      <c r="P105" s="412"/>
      <c r="Q105" s="671"/>
      <c r="R105" s="411"/>
      <c r="S105" s="412"/>
      <c r="T105" s="412"/>
      <c r="U105" s="412"/>
      <c r="V105" s="1004"/>
      <c r="W105" s="673"/>
      <c r="X105" s="415"/>
      <c r="Y105" s="675"/>
      <c r="Z105" s="412"/>
      <c r="AA105" s="412"/>
      <c r="AB105" s="412"/>
      <c r="AC105" s="675"/>
      <c r="AD105" s="412"/>
      <c r="AE105" s="671"/>
      <c r="AF105" s="411"/>
      <c r="AG105" s="412"/>
      <c r="AH105" s="1050"/>
      <c r="AI105" s="675"/>
      <c r="AJ105" s="412"/>
      <c r="AK105" s="412"/>
      <c r="AL105" s="412"/>
      <c r="AM105" s="412"/>
      <c r="AN105" s="412"/>
      <c r="AO105" s="675"/>
      <c r="AP105" s="412"/>
      <c r="AQ105" s="412"/>
      <c r="AR105" s="412"/>
      <c r="AS105" s="412"/>
      <c r="AT105" s="412"/>
      <c r="AU105" s="1074"/>
      <c r="AV105" s="1005"/>
      <c r="AW105" s="1006"/>
      <c r="AX105" s="1007"/>
      <c r="AY105" s="999"/>
    </row>
    <row r="106" spans="1:52" ht="14.4">
      <c r="A106" s="1333"/>
      <c r="B106" s="1336"/>
      <c r="C106" s="1111"/>
      <c r="D106" s="1098"/>
      <c r="E106" s="1101"/>
      <c r="F106" s="1090"/>
      <c r="G106" s="1240"/>
      <c r="H106" s="517" t="s">
        <v>25</v>
      </c>
      <c r="I106" s="587">
        <v>46106</v>
      </c>
      <c r="J106" s="188" t="s">
        <v>194</v>
      </c>
      <c r="K106" s="994"/>
      <c r="L106" s="397"/>
      <c r="M106" s="397"/>
      <c r="N106" s="397"/>
      <c r="O106" s="397"/>
      <c r="P106" s="397"/>
      <c r="Q106" s="577"/>
      <c r="R106" s="422"/>
      <c r="S106" s="397"/>
      <c r="T106" s="397"/>
      <c r="U106" s="397"/>
      <c r="V106" s="995"/>
      <c r="W106" s="502"/>
      <c r="X106" s="426"/>
      <c r="Y106" s="552"/>
      <c r="Z106" s="397"/>
      <c r="AA106" s="991"/>
      <c r="AB106" s="1056"/>
      <c r="AC106" s="997"/>
      <c r="AD106" s="1056"/>
      <c r="AE106" s="577"/>
      <c r="AF106" s="422"/>
      <c r="AG106" s="397"/>
      <c r="AH106" s="1051"/>
      <c r="AI106" s="997"/>
      <c r="AJ106" s="397"/>
      <c r="AK106" s="397"/>
      <c r="AL106" s="397"/>
      <c r="AM106" s="397"/>
      <c r="AN106" s="397"/>
      <c r="AO106" s="997"/>
      <c r="AP106" s="397"/>
      <c r="AQ106" s="397"/>
      <c r="AR106" s="397"/>
      <c r="AS106" s="397"/>
      <c r="AT106" s="397"/>
      <c r="AU106" s="1069"/>
      <c r="AV106" s="825"/>
      <c r="AW106" s="802"/>
      <c r="AX106" s="826"/>
      <c r="AY106" s="999"/>
    </row>
    <row r="107" spans="1:52" ht="14.4">
      <c r="A107" s="1333"/>
      <c r="B107" s="1336"/>
      <c r="C107" s="1111"/>
      <c r="D107" s="1098"/>
      <c r="E107" s="1101"/>
      <c r="F107" s="1090"/>
      <c r="G107" s="1240"/>
      <c r="H107" s="517" t="s">
        <v>27</v>
      </c>
      <c r="I107" s="587">
        <v>46198</v>
      </c>
      <c r="J107" s="188" t="s">
        <v>210</v>
      </c>
      <c r="K107" s="994"/>
      <c r="L107" s="397"/>
      <c r="M107" s="397"/>
      <c r="N107" s="397"/>
      <c r="O107" s="397"/>
      <c r="P107" s="397"/>
      <c r="Q107" s="577"/>
      <c r="R107" s="422"/>
      <c r="S107" s="397"/>
      <c r="T107" s="397"/>
      <c r="U107" s="397"/>
      <c r="V107" s="995"/>
      <c r="W107" s="502"/>
      <c r="X107" s="426"/>
      <c r="Y107" s="552"/>
      <c r="Z107" s="397"/>
      <c r="AA107" s="397"/>
      <c r="AB107" s="1052"/>
      <c r="AC107" s="889"/>
      <c r="AD107" s="1052"/>
      <c r="AE107" s="577"/>
      <c r="AF107" s="422"/>
      <c r="AG107" s="397"/>
      <c r="AH107" s="1052"/>
      <c r="AI107" s="889"/>
      <c r="AJ107" s="397"/>
      <c r="AK107" s="397"/>
      <c r="AL107" s="397"/>
      <c r="AM107" s="397"/>
      <c r="AN107" s="397"/>
      <c r="AO107" s="889"/>
      <c r="AP107" s="397"/>
      <c r="AQ107" s="397"/>
      <c r="AR107" s="397"/>
      <c r="AS107" s="397"/>
      <c r="AT107" s="397"/>
      <c r="AU107" s="1069"/>
      <c r="AV107" s="825"/>
      <c r="AW107" s="802"/>
      <c r="AX107" s="1008"/>
      <c r="AY107" s="999"/>
    </row>
    <row r="108" spans="1:52" ht="14.7" thickBot="1">
      <c r="A108" s="1334"/>
      <c r="B108" s="1337"/>
      <c r="C108" s="1339"/>
      <c r="D108" s="1352"/>
      <c r="E108" s="1354"/>
      <c r="F108" s="1311"/>
      <c r="G108" s="1313"/>
      <c r="H108" s="682" t="s">
        <v>30</v>
      </c>
      <c r="I108" s="683">
        <v>46290</v>
      </c>
      <c r="J108" s="684"/>
      <c r="K108" s="1009"/>
      <c r="L108" s="917"/>
      <c r="M108" s="917"/>
      <c r="N108" s="917"/>
      <c r="O108" s="917"/>
      <c r="P108" s="917"/>
      <c r="Q108" s="686"/>
      <c r="R108" s="687"/>
      <c r="S108" s="917"/>
      <c r="T108" s="917"/>
      <c r="U108" s="917"/>
      <c r="V108" s="1010"/>
      <c r="W108" s="689"/>
      <c r="X108" s="1011"/>
      <c r="Y108" s="691"/>
      <c r="Z108" s="917"/>
      <c r="AA108" s="917"/>
      <c r="AB108" s="1052"/>
      <c r="AC108" s="1012"/>
      <c r="AD108" s="1052"/>
      <c r="AE108" s="686"/>
      <c r="AF108" s="687"/>
      <c r="AG108" s="917"/>
      <c r="AH108" s="1053"/>
      <c r="AI108" s="1012"/>
      <c r="AJ108" s="917"/>
      <c r="AK108" s="917"/>
      <c r="AL108" s="917"/>
      <c r="AM108" s="917"/>
      <c r="AN108" s="917"/>
      <c r="AO108" s="1012"/>
      <c r="AP108" s="917"/>
      <c r="AQ108" s="917"/>
      <c r="AR108" s="917"/>
      <c r="AS108" s="917"/>
      <c r="AT108" s="917"/>
      <c r="AU108" s="1075"/>
      <c r="AV108" s="1013"/>
      <c r="AW108" s="1014"/>
      <c r="AX108" s="1015"/>
      <c r="AY108" s="999"/>
    </row>
    <row r="109" spans="1:52" ht="14.7" thickBot="1">
      <c r="A109" s="1332">
        <v>31</v>
      </c>
      <c r="B109" s="1335" t="s">
        <v>687</v>
      </c>
      <c r="C109" s="1338" t="s">
        <v>688</v>
      </c>
      <c r="D109" s="1200">
        <v>1621800</v>
      </c>
      <c r="E109" s="1202" t="s">
        <v>747</v>
      </c>
      <c r="F109" s="1310" t="s">
        <v>21</v>
      </c>
      <c r="G109" s="1312" t="s">
        <v>22</v>
      </c>
      <c r="H109" s="667" t="s">
        <v>23</v>
      </c>
      <c r="I109" s="668">
        <v>46016</v>
      </c>
      <c r="J109" s="492" t="s">
        <v>748</v>
      </c>
      <c r="K109" s="1003"/>
      <c r="L109" s="412"/>
      <c r="M109" s="412"/>
      <c r="N109" s="412"/>
      <c r="O109" s="412"/>
      <c r="P109" s="412"/>
      <c r="Q109" s="671"/>
      <c r="R109" s="411"/>
      <c r="S109" s="412"/>
      <c r="T109" s="412"/>
      <c r="U109" s="412"/>
      <c r="V109" s="1004"/>
      <c r="W109" s="673"/>
      <c r="X109" s="415"/>
      <c r="Y109" s="1016"/>
      <c r="Z109" s="412"/>
      <c r="AA109" s="1017"/>
      <c r="AB109" s="1046"/>
      <c r="AC109" s="1017"/>
      <c r="AD109" s="1046"/>
      <c r="AE109" s="1017"/>
      <c r="AF109" s="1046"/>
      <c r="AG109" s="1017"/>
      <c r="AH109" s="1046"/>
      <c r="AI109" s="1016"/>
      <c r="AJ109" s="412"/>
      <c r="AK109" s="1018"/>
      <c r="AL109" s="412"/>
      <c r="AM109" s="1018"/>
      <c r="AN109" s="412"/>
      <c r="AO109" s="1016"/>
      <c r="AP109" s="412"/>
      <c r="AQ109" s="1018"/>
      <c r="AR109" s="412"/>
      <c r="AS109" s="1018"/>
      <c r="AT109" s="412"/>
      <c r="AU109" s="1074"/>
      <c r="AV109" s="1005"/>
      <c r="AW109" s="1006"/>
      <c r="AX109" s="1007"/>
      <c r="AY109" s="999"/>
    </row>
    <row r="110" spans="1:52" ht="15" customHeight="1">
      <c r="A110" s="1333"/>
      <c r="B110" s="1336"/>
      <c r="C110" s="1111"/>
      <c r="D110" s="1201"/>
      <c r="E110" s="1139"/>
      <c r="F110" s="1090"/>
      <c r="G110" s="1240"/>
      <c r="H110" s="517" t="s">
        <v>25</v>
      </c>
      <c r="I110" s="587">
        <v>46106</v>
      </c>
      <c r="J110" s="188" t="s">
        <v>194</v>
      </c>
      <c r="K110" s="994"/>
      <c r="L110" s="397"/>
      <c r="M110" s="397"/>
      <c r="N110" s="397"/>
      <c r="O110" s="397"/>
      <c r="P110" s="397"/>
      <c r="Q110" s="577"/>
      <c r="R110" s="422"/>
      <c r="S110" s="397"/>
      <c r="T110" s="397"/>
      <c r="U110" s="397"/>
      <c r="V110" s="995"/>
      <c r="W110" s="673"/>
      <c r="X110" s="426"/>
      <c r="Y110" s="673"/>
      <c r="Z110" s="1056"/>
      <c r="AA110" s="1019"/>
      <c r="AB110" s="1047"/>
      <c r="AC110" s="1019"/>
      <c r="AD110" s="1047"/>
      <c r="AE110" s="1019"/>
      <c r="AF110" s="1047"/>
      <c r="AG110" s="1019"/>
      <c r="AH110" s="1047"/>
      <c r="AI110" s="997"/>
      <c r="AJ110" s="1080"/>
      <c r="AK110" s="991"/>
      <c r="AL110" s="397"/>
      <c r="AM110" s="991"/>
      <c r="AN110" s="397"/>
      <c r="AO110" s="997"/>
      <c r="AP110" s="397"/>
      <c r="AQ110" s="991"/>
      <c r="AR110" s="397"/>
      <c r="AS110" s="991"/>
      <c r="AT110" s="397"/>
      <c r="AU110" s="1069"/>
      <c r="AV110" s="825"/>
      <c r="AW110" s="802"/>
      <c r="AX110" s="1020"/>
      <c r="AY110" s="419"/>
    </row>
    <row r="111" spans="1:52">
      <c r="A111" s="1333"/>
      <c r="B111" s="1336"/>
      <c r="C111" s="1111"/>
      <c r="D111" s="1201"/>
      <c r="E111" s="1139"/>
      <c r="F111" s="1090"/>
      <c r="G111" s="1240"/>
      <c r="H111" s="517" t="s">
        <v>27</v>
      </c>
      <c r="I111" s="587">
        <v>46198</v>
      </c>
      <c r="J111" s="188" t="s">
        <v>703</v>
      </c>
      <c r="K111" s="994"/>
      <c r="L111" s="397"/>
      <c r="M111" s="397"/>
      <c r="N111" s="397"/>
      <c r="O111" s="397"/>
      <c r="P111" s="397"/>
      <c r="Q111" s="577"/>
      <c r="R111" s="422"/>
      <c r="S111" s="397"/>
      <c r="T111" s="397"/>
      <c r="U111" s="397"/>
      <c r="V111" s="995"/>
      <c r="W111" s="502"/>
      <c r="X111" s="426"/>
      <c r="Y111" s="552"/>
      <c r="Z111" s="1052"/>
      <c r="AA111" s="995"/>
      <c r="AB111" s="1048"/>
      <c r="AC111" s="995"/>
      <c r="AD111" s="1048"/>
      <c r="AE111" s="995"/>
      <c r="AF111" s="1048"/>
      <c r="AG111" s="995"/>
      <c r="AH111" s="1048"/>
      <c r="AI111" s="889"/>
      <c r="AJ111" s="1081"/>
      <c r="AK111" s="397"/>
      <c r="AL111" s="397"/>
      <c r="AM111" s="397"/>
      <c r="AN111" s="397"/>
      <c r="AO111" s="889"/>
      <c r="AP111" s="397"/>
      <c r="AQ111" s="397"/>
      <c r="AR111" s="397"/>
      <c r="AS111" s="397"/>
      <c r="AT111" s="397"/>
      <c r="AU111" s="1069"/>
      <c r="AV111" s="825"/>
      <c r="AW111" s="802"/>
      <c r="AX111" s="1008"/>
      <c r="AY111" s="419"/>
    </row>
    <row r="112" spans="1:52" ht="27" customHeight="1" thickBot="1">
      <c r="A112" s="1334"/>
      <c r="B112" s="1337"/>
      <c r="C112" s="1339"/>
      <c r="D112" s="1201"/>
      <c r="E112" s="1139"/>
      <c r="F112" s="1311"/>
      <c r="G112" s="1313"/>
      <c r="H112" s="682" t="s">
        <v>30</v>
      </c>
      <c r="I112" s="683">
        <v>46290</v>
      </c>
      <c r="J112" s="684"/>
      <c r="K112" s="1009"/>
      <c r="L112" s="917"/>
      <c r="M112" s="917"/>
      <c r="N112" s="917"/>
      <c r="O112" s="917"/>
      <c r="P112" s="917"/>
      <c r="Q112" s="686"/>
      <c r="R112" s="687"/>
      <c r="S112" s="917"/>
      <c r="T112" s="917"/>
      <c r="U112" s="917"/>
      <c r="V112" s="1010"/>
      <c r="W112" s="689"/>
      <c r="X112" s="1011"/>
      <c r="Y112" s="691"/>
      <c r="Z112" s="1052"/>
      <c r="AA112" s="917"/>
      <c r="AB112" s="1049"/>
      <c r="AC112" s="917"/>
      <c r="AD112" s="1049"/>
      <c r="AE112" s="917"/>
      <c r="AF112" s="1049"/>
      <c r="AG112" s="917"/>
      <c r="AH112" s="1049"/>
      <c r="AI112" s="1012"/>
      <c r="AJ112" s="1082"/>
      <c r="AK112" s="917"/>
      <c r="AL112" s="917"/>
      <c r="AM112" s="917"/>
      <c r="AN112" s="917"/>
      <c r="AO112" s="1012"/>
      <c r="AP112" s="917"/>
      <c r="AQ112" s="917"/>
      <c r="AR112" s="917"/>
      <c r="AS112" s="917"/>
      <c r="AT112" s="917"/>
      <c r="AU112" s="1075"/>
      <c r="AV112" s="1013"/>
      <c r="AW112" s="1014"/>
      <c r="AX112" s="1015"/>
      <c r="AY112" s="419"/>
      <c r="AZ112" s="702"/>
    </row>
    <row r="113" spans="1:52" ht="14.1" thickBot="1">
      <c r="A113" s="1340">
        <v>32</v>
      </c>
      <c r="B113" s="1347" t="s">
        <v>211</v>
      </c>
      <c r="C113" s="1228" t="s">
        <v>212</v>
      </c>
      <c r="D113" s="1097">
        <v>0</v>
      </c>
      <c r="E113" s="1100" t="s">
        <v>213</v>
      </c>
      <c r="F113" s="1089" t="s">
        <v>21</v>
      </c>
      <c r="G113" s="1278" t="s">
        <v>22</v>
      </c>
      <c r="H113" s="510" t="s">
        <v>23</v>
      </c>
      <c r="I113" s="585">
        <v>45901</v>
      </c>
      <c r="J113" s="492" t="s">
        <v>702</v>
      </c>
      <c r="K113" s="993"/>
      <c r="L113" s="443"/>
      <c r="M113" s="443"/>
      <c r="N113" s="443"/>
      <c r="O113" s="443"/>
      <c r="P113" s="443"/>
      <c r="Q113" s="575"/>
      <c r="R113" s="439"/>
      <c r="S113" s="443"/>
      <c r="T113" s="443"/>
      <c r="U113" s="443"/>
      <c r="V113" s="1056"/>
      <c r="W113" s="528"/>
      <c r="X113" s="1046"/>
      <c r="Y113" s="579"/>
      <c r="Z113" s="1046"/>
      <c r="AA113" s="978"/>
      <c r="AB113" s="1046"/>
      <c r="AC113" s="579"/>
      <c r="AD113" s="1050"/>
      <c r="AE113" s="579"/>
      <c r="AF113" s="1050"/>
      <c r="AG113" s="579"/>
      <c r="AH113" s="1050"/>
      <c r="AI113" s="579"/>
      <c r="AJ113" s="1046"/>
      <c r="AK113" s="873"/>
      <c r="AL113" s="1046"/>
      <c r="AM113" s="978"/>
      <c r="AN113" s="443"/>
      <c r="AO113" s="579"/>
      <c r="AP113" s="443"/>
      <c r="AQ113" s="443"/>
      <c r="AR113" s="443"/>
      <c r="AS113" s="443"/>
      <c r="AT113" s="469"/>
      <c r="AU113" s="1068"/>
      <c r="AV113" s="818"/>
      <c r="AW113" s="1021"/>
      <c r="AX113" s="838"/>
      <c r="AY113" s="419"/>
      <c r="AZ113" s="700"/>
    </row>
    <row r="114" spans="1:52" ht="14.4">
      <c r="A114" s="1341"/>
      <c r="B114" s="1266"/>
      <c r="C114" s="1229"/>
      <c r="D114" s="1098"/>
      <c r="E114" s="1101"/>
      <c r="F114" s="1090"/>
      <c r="G114" s="1240"/>
      <c r="H114" s="517" t="s">
        <v>25</v>
      </c>
      <c r="I114" s="587">
        <v>46023</v>
      </c>
      <c r="J114" s="188" t="s">
        <v>194</v>
      </c>
      <c r="K114" s="994"/>
      <c r="L114" s="397"/>
      <c r="M114" s="397"/>
      <c r="N114" s="397"/>
      <c r="O114" s="397"/>
      <c r="P114" s="397"/>
      <c r="Q114" s="577"/>
      <c r="R114" s="422"/>
      <c r="S114" s="397"/>
      <c r="T114" s="397"/>
      <c r="U114" s="397"/>
      <c r="V114" s="1052"/>
      <c r="W114" s="502"/>
      <c r="X114" s="1047"/>
      <c r="Y114" s="434"/>
      <c r="Z114" s="1047"/>
      <c r="AA114" s="434"/>
      <c r="AB114" s="1047"/>
      <c r="AC114" s="434"/>
      <c r="AD114" s="1051"/>
      <c r="AE114" s="434"/>
      <c r="AF114" s="1051"/>
      <c r="AG114" s="434"/>
      <c r="AH114" s="1051"/>
      <c r="AI114" s="434"/>
      <c r="AJ114" s="1047"/>
      <c r="AK114" s="929"/>
      <c r="AL114" s="1047"/>
      <c r="AM114" s="296"/>
      <c r="AN114" s="426"/>
      <c r="AO114" s="997"/>
      <c r="AP114" s="397"/>
      <c r="AQ114" s="397"/>
      <c r="AR114" s="397"/>
      <c r="AS114" s="397"/>
      <c r="AT114" s="995"/>
      <c r="AU114" s="1069"/>
      <c r="AV114" s="825"/>
      <c r="AW114" s="802"/>
      <c r="AX114" s="826"/>
      <c r="AY114" s="999"/>
    </row>
    <row r="115" spans="1:52">
      <c r="A115" s="1341"/>
      <c r="B115" s="1266"/>
      <c r="C115" s="1229"/>
      <c r="D115" s="1098"/>
      <c r="E115" s="1101"/>
      <c r="F115" s="1090"/>
      <c r="G115" s="1240"/>
      <c r="H115" s="517" t="s">
        <v>27</v>
      </c>
      <c r="I115" s="587">
        <v>46143</v>
      </c>
      <c r="J115" s="188" t="s">
        <v>214</v>
      </c>
      <c r="K115" s="994"/>
      <c r="L115" s="397"/>
      <c r="M115" s="397"/>
      <c r="N115" s="397"/>
      <c r="O115" s="397"/>
      <c r="P115" s="397"/>
      <c r="Q115" s="577"/>
      <c r="R115" s="422"/>
      <c r="S115" s="397"/>
      <c r="T115" s="397"/>
      <c r="U115" s="397"/>
      <c r="V115" s="1052"/>
      <c r="W115" s="502"/>
      <c r="X115" s="1047"/>
      <c r="Y115" s="889"/>
      <c r="Z115" s="1048"/>
      <c r="AA115" s="296"/>
      <c r="AB115" s="1048"/>
      <c r="AC115" s="296"/>
      <c r="AD115" s="1052"/>
      <c r="AE115" s="296"/>
      <c r="AF115" s="1052"/>
      <c r="AG115" s="296"/>
      <c r="AH115" s="1052"/>
      <c r="AI115" s="296"/>
      <c r="AJ115" s="1048"/>
      <c r="AK115" s="624"/>
      <c r="AL115" s="1048"/>
      <c r="AM115" s="296"/>
      <c r="AN115" s="1022"/>
      <c r="AO115" s="296"/>
      <c r="AP115" s="426"/>
      <c r="AQ115" s="397"/>
      <c r="AR115" s="397"/>
      <c r="AS115" s="397"/>
      <c r="AT115" s="995"/>
      <c r="AU115" s="1069"/>
      <c r="AV115" s="825"/>
      <c r="AW115" s="802"/>
      <c r="AX115" s="806"/>
      <c r="AY115" s="419"/>
    </row>
    <row r="116" spans="1:52" ht="30" customHeight="1" thickBot="1">
      <c r="A116" s="1342"/>
      <c r="B116" s="1267"/>
      <c r="C116" s="1268"/>
      <c r="D116" s="1270"/>
      <c r="E116" s="1272"/>
      <c r="F116" s="1281"/>
      <c r="G116" s="1279"/>
      <c r="H116" s="604" t="s">
        <v>30</v>
      </c>
      <c r="I116" s="605">
        <v>46235</v>
      </c>
      <c r="J116" s="606"/>
      <c r="K116" s="1023"/>
      <c r="L116" s="865"/>
      <c r="M116" s="865"/>
      <c r="N116" s="865"/>
      <c r="O116" s="865"/>
      <c r="P116" s="865"/>
      <c r="Q116" s="608"/>
      <c r="R116" s="467"/>
      <c r="S116" s="865"/>
      <c r="T116" s="865"/>
      <c r="U116" s="865"/>
      <c r="V116" s="1024"/>
      <c r="W116" s="631"/>
      <c r="X116" s="1277"/>
      <c r="Y116" s="633"/>
      <c r="Z116" s="1049"/>
      <c r="AA116" s="611"/>
      <c r="AB116" s="1049"/>
      <c r="AC116" s="611"/>
      <c r="AD116" s="1053"/>
      <c r="AE116" s="611"/>
      <c r="AF116" s="1053"/>
      <c r="AG116" s="611"/>
      <c r="AH116" s="1053"/>
      <c r="AI116" s="611"/>
      <c r="AJ116" s="1049"/>
      <c r="AK116" s="1025"/>
      <c r="AL116" s="1049"/>
      <c r="AM116" s="611"/>
      <c r="AN116" s="1026"/>
      <c r="AO116" s="611"/>
      <c r="AP116" s="1027"/>
      <c r="AQ116" s="865"/>
      <c r="AR116" s="865"/>
      <c r="AS116" s="865"/>
      <c r="AT116" s="1024"/>
      <c r="AU116" s="1070"/>
      <c r="AV116" s="867"/>
      <c r="AW116" s="868"/>
      <c r="AX116" s="869"/>
      <c r="AY116" s="419"/>
    </row>
    <row r="117" spans="1:52" ht="14.1" thickBot="1">
      <c r="A117" s="1346">
        <v>33</v>
      </c>
      <c r="B117" s="1265" t="s">
        <v>215</v>
      </c>
      <c r="C117" s="1229" t="s">
        <v>212</v>
      </c>
      <c r="D117" s="1269">
        <v>0</v>
      </c>
      <c r="E117" s="1271" t="s">
        <v>216</v>
      </c>
      <c r="F117" s="1280" t="s">
        <v>21</v>
      </c>
      <c r="G117" s="1282" t="s">
        <v>103</v>
      </c>
      <c r="H117" s="615" t="s">
        <v>23</v>
      </c>
      <c r="I117" s="616">
        <v>45658</v>
      </c>
      <c r="J117" s="617" t="s">
        <v>217</v>
      </c>
      <c r="K117" s="1028"/>
      <c r="L117" s="873"/>
      <c r="M117" s="873"/>
      <c r="N117" s="873"/>
      <c r="O117" s="873"/>
      <c r="P117" s="873"/>
      <c r="Q117" s="365"/>
      <c r="R117" s="619"/>
      <c r="S117" s="873"/>
      <c r="T117" s="873"/>
      <c r="U117" s="873"/>
      <c r="V117" s="1029"/>
      <c r="W117" s="621"/>
      <c r="X117" s="1030"/>
      <c r="Y117" s="903"/>
      <c r="Z117" s="1054"/>
      <c r="AA117" s="873"/>
      <c r="AB117" s="1029"/>
      <c r="AC117" s="623"/>
      <c r="AD117" s="1030"/>
      <c r="AE117" s="419"/>
      <c r="AF117" s="619"/>
      <c r="AG117" s="873"/>
      <c r="AH117" s="1029"/>
      <c r="AI117" s="623"/>
      <c r="AJ117" s="1030"/>
      <c r="AK117" s="873"/>
      <c r="AL117" s="1046"/>
      <c r="AM117" s="873"/>
      <c r="AN117" s="1029"/>
      <c r="AO117" s="623"/>
      <c r="AP117" s="1030"/>
      <c r="AQ117" s="624"/>
      <c r="AR117" s="873"/>
      <c r="AS117" s="873"/>
      <c r="AT117" s="873"/>
      <c r="AU117" s="1069"/>
      <c r="AV117" s="825"/>
      <c r="AW117" s="874"/>
      <c r="AX117" s="806"/>
      <c r="AY117" s="419"/>
    </row>
    <row r="118" spans="1:52" ht="14.1">
      <c r="A118" s="1341"/>
      <c r="B118" s="1266"/>
      <c r="C118" s="1229"/>
      <c r="D118" s="1098"/>
      <c r="E118" s="1101"/>
      <c r="F118" s="1090"/>
      <c r="G118" s="1243"/>
      <c r="H118" s="517" t="s">
        <v>25</v>
      </c>
      <c r="I118" s="564">
        <v>45748</v>
      </c>
      <c r="J118" s="188" t="s">
        <v>194</v>
      </c>
      <c r="K118" s="994"/>
      <c r="L118" s="397"/>
      <c r="M118" s="397"/>
      <c r="N118" s="397"/>
      <c r="O118" s="397"/>
      <c r="P118" s="397"/>
      <c r="Q118" s="577"/>
      <c r="R118" s="422"/>
      <c r="S118" s="397"/>
      <c r="T118" s="397"/>
      <c r="U118" s="397"/>
      <c r="V118" s="995"/>
      <c r="W118" s="502"/>
      <c r="X118" s="426"/>
      <c r="Y118" s="929"/>
      <c r="Z118" s="1054"/>
      <c r="AA118" s="397"/>
      <c r="AB118" s="995"/>
      <c r="AC118" s="414"/>
      <c r="AD118" s="1022"/>
      <c r="AE118" s="626"/>
      <c r="AF118" s="627"/>
      <c r="AG118" s="397"/>
      <c r="AH118" s="995"/>
      <c r="AI118" s="414"/>
      <c r="AJ118" s="426"/>
      <c r="AK118" s="929"/>
      <c r="AL118" s="1047"/>
      <c r="AM118" s="397"/>
      <c r="AN118" s="995"/>
      <c r="AO118" s="414"/>
      <c r="AP118" s="1022"/>
      <c r="AQ118" s="626"/>
      <c r="AR118" s="426"/>
      <c r="AS118" s="397"/>
      <c r="AT118" s="397"/>
      <c r="AU118" s="1069"/>
      <c r="AV118" s="825"/>
      <c r="AW118" s="802"/>
      <c r="AX118" s="826"/>
      <c r="AY118" s="419"/>
    </row>
    <row r="119" spans="1:52">
      <c r="A119" s="1341"/>
      <c r="B119" s="1266"/>
      <c r="C119" s="1229"/>
      <c r="D119" s="1098"/>
      <c r="E119" s="1101"/>
      <c r="F119" s="1090"/>
      <c r="G119" s="1243"/>
      <c r="H119" s="517" t="s">
        <v>27</v>
      </c>
      <c r="I119" s="570">
        <v>45839</v>
      </c>
      <c r="J119" s="188" t="s">
        <v>219</v>
      </c>
      <c r="K119" s="994"/>
      <c r="L119" s="397"/>
      <c r="M119" s="397"/>
      <c r="N119" s="397"/>
      <c r="O119" s="397"/>
      <c r="P119" s="397"/>
      <c r="Q119" s="577"/>
      <c r="R119" s="422"/>
      <c r="S119" s="397"/>
      <c r="T119" s="397"/>
      <c r="U119" s="397"/>
      <c r="V119" s="995"/>
      <c r="W119" s="502"/>
      <c r="X119" s="426"/>
      <c r="Y119" s="624"/>
      <c r="Z119" s="1054"/>
      <c r="AA119" s="397"/>
      <c r="AB119" s="995"/>
      <c r="AC119" s="296"/>
      <c r="AD119" s="1022"/>
      <c r="AE119" s="626"/>
      <c r="AF119" s="627"/>
      <c r="AG119" s="397"/>
      <c r="AH119" s="995"/>
      <c r="AI119" s="296"/>
      <c r="AJ119" s="426"/>
      <c r="AK119" s="624"/>
      <c r="AL119" s="1048"/>
      <c r="AM119" s="397"/>
      <c r="AN119" s="995"/>
      <c r="AO119" s="296"/>
      <c r="AP119" s="1022"/>
      <c r="AQ119" s="626"/>
      <c r="AR119" s="426"/>
      <c r="AS119" s="397"/>
      <c r="AT119" s="397"/>
      <c r="AU119" s="1069"/>
      <c r="AV119" s="825"/>
      <c r="AW119" s="802"/>
      <c r="AX119" s="806"/>
      <c r="AY119" s="419"/>
    </row>
    <row r="120" spans="1:52" ht="14.1" thickBot="1">
      <c r="A120" s="1342"/>
      <c r="B120" s="1267"/>
      <c r="C120" s="1268"/>
      <c r="D120" s="1270"/>
      <c r="E120" s="1272"/>
      <c r="F120" s="1281"/>
      <c r="G120" s="1283"/>
      <c r="H120" s="629" t="s">
        <v>30</v>
      </c>
      <c r="I120" s="587">
        <v>45931</v>
      </c>
      <c r="J120" s="630"/>
      <c r="K120" s="1023"/>
      <c r="L120" s="865"/>
      <c r="M120" s="865"/>
      <c r="N120" s="865"/>
      <c r="O120" s="865"/>
      <c r="P120" s="865"/>
      <c r="Q120" s="608"/>
      <c r="R120" s="467"/>
      <c r="S120" s="865"/>
      <c r="T120" s="865"/>
      <c r="U120" s="865"/>
      <c r="V120" s="1024"/>
      <c r="W120" s="631"/>
      <c r="X120" s="1027"/>
      <c r="Y120" s="1025"/>
      <c r="Z120" s="1055"/>
      <c r="AA120" s="865"/>
      <c r="AB120" s="865"/>
      <c r="AC120" s="633"/>
      <c r="AD120" s="1024"/>
      <c r="AE120" s="626"/>
      <c r="AF120" s="634"/>
      <c r="AG120" s="865"/>
      <c r="AH120" s="1024"/>
      <c r="AI120" s="296"/>
      <c r="AJ120" s="1027"/>
      <c r="AK120" s="1025"/>
      <c r="AL120" s="1049"/>
      <c r="AM120" s="865"/>
      <c r="AN120" s="1024"/>
      <c r="AO120" s="296"/>
      <c r="AP120" s="1026"/>
      <c r="AQ120" s="626"/>
      <c r="AR120" s="1027"/>
      <c r="AS120" s="865"/>
      <c r="AT120" s="865"/>
      <c r="AU120" s="1070"/>
      <c r="AV120" s="867"/>
      <c r="AW120" s="868"/>
      <c r="AX120" s="869"/>
      <c r="AY120" s="419"/>
    </row>
    <row r="121" spans="1:52" ht="14.1" thickBot="1">
      <c r="A121" s="1340">
        <v>34</v>
      </c>
      <c r="B121" s="1343" t="s">
        <v>717</v>
      </c>
      <c r="C121" s="1205" t="s">
        <v>779</v>
      </c>
      <c r="D121" s="759"/>
      <c r="E121" s="743"/>
      <c r="F121" s="1089" t="s">
        <v>21</v>
      </c>
      <c r="G121" s="1278" t="s">
        <v>22</v>
      </c>
      <c r="H121" s="460" t="s">
        <v>23</v>
      </c>
      <c r="I121" s="442">
        <v>46007</v>
      </c>
      <c r="J121" s="492" t="s">
        <v>728</v>
      </c>
      <c r="K121" s="993"/>
      <c r="L121" s="443"/>
      <c r="M121" s="443"/>
      <c r="N121" s="443"/>
      <c r="O121" s="443"/>
      <c r="P121" s="443"/>
      <c r="Q121" s="575"/>
      <c r="R121" s="439"/>
      <c r="S121" s="443"/>
      <c r="T121" s="443"/>
      <c r="U121" s="443"/>
      <c r="V121" s="1056"/>
      <c r="W121" s="528"/>
      <c r="X121" s="1046"/>
      <c r="Y121" s="579"/>
      <c r="Z121" s="1046"/>
      <c r="AA121" s="978"/>
      <c r="AB121" s="1046"/>
      <c r="AC121" s="579"/>
      <c r="AD121" s="1050"/>
      <c r="AE121" s="579"/>
      <c r="AF121" s="1050"/>
      <c r="AG121" s="579"/>
      <c r="AH121" s="1050"/>
      <c r="AI121" s="1017"/>
      <c r="AJ121" s="1046"/>
      <c r="AK121" s="579"/>
      <c r="AL121" s="1050"/>
      <c r="AM121" s="978"/>
      <c r="AN121" s="443"/>
      <c r="AO121" s="579"/>
      <c r="AP121" s="443"/>
      <c r="AQ121" s="443"/>
      <c r="AR121" s="443"/>
      <c r="AS121" s="443"/>
      <c r="AT121" s="469"/>
      <c r="AU121" s="818"/>
      <c r="AV121" s="818"/>
      <c r="AW121" s="1021"/>
      <c r="AX121" s="838"/>
      <c r="AY121" s="419"/>
    </row>
    <row r="122" spans="1:52" ht="14.1">
      <c r="A122" s="1341"/>
      <c r="B122" s="1336"/>
      <c r="C122" s="1206"/>
      <c r="D122" s="741"/>
      <c r="E122" s="744"/>
      <c r="F122" s="1090"/>
      <c r="G122" s="1240"/>
      <c r="H122" s="464" t="s">
        <v>25</v>
      </c>
      <c r="I122" s="449">
        <v>45717</v>
      </c>
      <c r="J122" s="188" t="s">
        <v>194</v>
      </c>
      <c r="K122" s="994"/>
      <c r="L122" s="397"/>
      <c r="M122" s="397"/>
      <c r="N122" s="397"/>
      <c r="O122" s="397"/>
      <c r="P122" s="397"/>
      <c r="Q122" s="577"/>
      <c r="R122" s="422"/>
      <c r="S122" s="397"/>
      <c r="T122" s="397"/>
      <c r="U122" s="397"/>
      <c r="V122" s="1052"/>
      <c r="W122" s="502"/>
      <c r="X122" s="1047"/>
      <c r="Y122" s="434"/>
      <c r="Z122" s="1047"/>
      <c r="AA122" s="1031"/>
      <c r="AB122" s="1047"/>
      <c r="AC122" s="1031"/>
      <c r="AD122" s="1051"/>
      <c r="AE122" s="434"/>
      <c r="AF122" s="1051"/>
      <c r="AG122" s="1031"/>
      <c r="AH122" s="1051"/>
      <c r="AI122" s="1019"/>
      <c r="AJ122" s="1047"/>
      <c r="AK122" s="434"/>
      <c r="AL122" s="1350"/>
      <c r="AM122" s="1032"/>
      <c r="AN122" s="426"/>
      <c r="AO122" s="997"/>
      <c r="AP122" s="397"/>
      <c r="AQ122" s="397"/>
      <c r="AR122" s="397"/>
      <c r="AS122" s="991"/>
      <c r="AT122" s="995"/>
      <c r="AU122" s="825"/>
      <c r="AV122" s="825"/>
      <c r="AW122" s="802"/>
      <c r="AX122" s="826"/>
      <c r="AY122" s="419"/>
    </row>
    <row r="123" spans="1:52">
      <c r="A123" s="1341"/>
      <c r="B123" s="1336"/>
      <c r="C123" s="1206"/>
      <c r="D123" s="741">
        <v>225426.5</v>
      </c>
      <c r="E123" s="744" t="s">
        <v>718</v>
      </c>
      <c r="F123" s="1090"/>
      <c r="G123" s="1240"/>
      <c r="H123" s="517" t="s">
        <v>27</v>
      </c>
      <c r="I123" s="587">
        <v>46174</v>
      </c>
      <c r="J123" s="188" t="s">
        <v>719</v>
      </c>
      <c r="K123" s="994"/>
      <c r="L123" s="397"/>
      <c r="M123" s="397"/>
      <c r="N123" s="397"/>
      <c r="O123" s="397"/>
      <c r="P123" s="397"/>
      <c r="Q123" s="577"/>
      <c r="R123" s="422"/>
      <c r="S123" s="397"/>
      <c r="T123" s="397"/>
      <c r="U123" s="397"/>
      <c r="V123" s="1052"/>
      <c r="W123" s="502"/>
      <c r="X123" s="1047"/>
      <c r="Y123" s="889"/>
      <c r="Z123" s="1048"/>
      <c r="AA123" s="296"/>
      <c r="AB123" s="1048"/>
      <c r="AC123" s="296"/>
      <c r="AD123" s="1052"/>
      <c r="AE123" s="296"/>
      <c r="AF123" s="1052"/>
      <c r="AG123" s="296"/>
      <c r="AH123" s="1052"/>
      <c r="AI123" s="995"/>
      <c r="AJ123" s="1048"/>
      <c r="AK123" s="296"/>
      <c r="AL123" s="1052"/>
      <c r="AM123" s="296"/>
      <c r="AN123" s="1022"/>
      <c r="AO123" s="296"/>
      <c r="AP123" s="426"/>
      <c r="AQ123" s="397"/>
      <c r="AR123" s="397"/>
      <c r="AS123" s="397"/>
      <c r="AT123" s="995"/>
      <c r="AU123" s="825"/>
      <c r="AV123" s="825"/>
      <c r="AW123" s="802"/>
      <c r="AX123" s="806"/>
      <c r="AY123" s="419"/>
    </row>
    <row r="124" spans="1:52" ht="14.1" thickBot="1">
      <c r="A124" s="1342"/>
      <c r="B124" s="1344"/>
      <c r="C124" s="1345"/>
      <c r="D124" s="742"/>
      <c r="E124" s="745"/>
      <c r="F124" s="1281"/>
      <c r="G124" s="1279"/>
      <c r="H124" s="604" t="s">
        <v>30</v>
      </c>
      <c r="I124" s="605">
        <v>46357</v>
      </c>
      <c r="J124" s="606"/>
      <c r="K124" s="1023"/>
      <c r="L124" s="865"/>
      <c r="M124" s="865"/>
      <c r="N124" s="865"/>
      <c r="O124" s="865"/>
      <c r="P124" s="865"/>
      <c r="Q124" s="608"/>
      <c r="R124" s="467"/>
      <c r="S124" s="865"/>
      <c r="T124" s="865"/>
      <c r="U124" s="865"/>
      <c r="V124" s="1024"/>
      <c r="W124" s="631"/>
      <c r="X124" s="1277"/>
      <c r="Y124" s="633"/>
      <c r="Z124" s="1049"/>
      <c r="AA124" s="611"/>
      <c r="AB124" s="1049"/>
      <c r="AC124" s="611"/>
      <c r="AD124" s="1053"/>
      <c r="AE124" s="611"/>
      <c r="AF124" s="1053"/>
      <c r="AG124" s="611"/>
      <c r="AH124" s="1053"/>
      <c r="AI124" s="917"/>
      <c r="AJ124" s="1049"/>
      <c r="AK124" s="611"/>
      <c r="AL124" s="1053"/>
      <c r="AM124" s="611"/>
      <c r="AN124" s="1026"/>
      <c r="AO124" s="611"/>
      <c r="AP124" s="1027"/>
      <c r="AQ124" s="865"/>
      <c r="AR124" s="865"/>
      <c r="AS124" s="865"/>
      <c r="AT124" s="1024"/>
      <c r="AU124" s="867"/>
      <c r="AV124" s="867"/>
      <c r="AW124" s="868"/>
      <c r="AX124" s="869"/>
      <c r="AY124" s="419"/>
    </row>
    <row r="125" spans="1:52">
      <c r="A125" s="639"/>
      <c r="B125" s="773"/>
      <c r="C125" s="773"/>
      <c r="D125" s="774"/>
      <c r="E125" s="775"/>
      <c r="F125" s="639"/>
      <c r="G125" s="639"/>
      <c r="H125" s="640"/>
      <c r="I125" s="641"/>
      <c r="K125" s="1033"/>
      <c r="L125" s="419"/>
      <c r="M125" s="419"/>
      <c r="N125" s="419"/>
      <c r="O125" s="419"/>
      <c r="P125" s="419"/>
      <c r="Q125" s="635"/>
      <c r="R125" s="643"/>
      <c r="S125" s="419"/>
      <c r="T125" s="419"/>
      <c r="U125" s="419"/>
      <c r="V125" s="419"/>
      <c r="W125" s="1034"/>
      <c r="X125" s="643"/>
      <c r="Y125" s="419"/>
      <c r="Z125" s="788"/>
      <c r="AA125" s="419"/>
      <c r="AB125" s="643"/>
      <c r="AC125" s="419"/>
      <c r="AD125" s="788"/>
      <c r="AE125" s="419"/>
      <c r="AF125" s="788"/>
      <c r="AG125" s="419"/>
      <c r="AH125" s="788"/>
      <c r="AI125" s="419"/>
      <c r="AJ125" s="788"/>
      <c r="AK125" s="1035"/>
      <c r="AL125" s="643"/>
      <c r="AM125" s="419"/>
      <c r="AN125" s="419"/>
      <c r="AO125" s="419"/>
      <c r="AP125" s="419"/>
      <c r="AQ125" s="419"/>
      <c r="AR125" s="419"/>
      <c r="AS125" s="419"/>
      <c r="AT125" s="419"/>
      <c r="AU125" s="1036"/>
      <c r="AV125" s="1036"/>
      <c r="AW125" s="1036"/>
      <c r="AX125" s="419"/>
      <c r="AY125" s="419"/>
    </row>
    <row r="126" spans="1:52">
      <c r="A126" s="635"/>
      <c r="B126" s="636"/>
      <c r="C126" s="636"/>
      <c r="D126" s="637"/>
      <c r="E126" s="638"/>
      <c r="F126" s="639"/>
      <c r="G126" s="639"/>
      <c r="H126" s="640"/>
      <c r="I126" s="641"/>
      <c r="K126" s="1033"/>
      <c r="L126" s="419"/>
      <c r="M126" s="419"/>
      <c r="N126" s="419"/>
      <c r="O126" s="419"/>
      <c r="P126" s="419"/>
      <c r="Q126" s="635"/>
      <c r="R126" s="643"/>
      <c r="S126" s="419"/>
      <c r="T126" s="419"/>
      <c r="U126" s="419"/>
      <c r="V126" s="419"/>
      <c r="W126" s="644"/>
      <c r="X126" s="419"/>
      <c r="Y126" s="645"/>
      <c r="Z126" s="419"/>
      <c r="AA126" s="419"/>
      <c r="AB126" s="419"/>
      <c r="AC126" s="646"/>
      <c r="AD126" s="419"/>
      <c r="AE126" s="635"/>
      <c r="AF126" s="643"/>
      <c r="AG126" s="419"/>
      <c r="AH126" s="419"/>
      <c r="AI126" s="646"/>
      <c r="AJ126" s="419"/>
      <c r="AK126" s="419"/>
      <c r="AL126" s="419"/>
      <c r="AM126" s="419"/>
      <c r="AN126" s="419"/>
      <c r="AO126" s="646"/>
      <c r="AP126" s="419"/>
      <c r="AQ126" s="419"/>
      <c r="AR126" s="419"/>
      <c r="AS126" s="419"/>
      <c r="AT126" s="419"/>
      <c r="AU126" s="419"/>
      <c r="AV126" s="419"/>
      <c r="AW126" s="419"/>
      <c r="AX126" s="419"/>
      <c r="AY126" s="419"/>
    </row>
    <row r="127" spans="1:52" ht="14.1">
      <c r="B127" s="647"/>
      <c r="D127" s="649">
        <f>SUM(D3:D124)</f>
        <v>9454317</v>
      </c>
      <c r="K127" s="1037"/>
      <c r="L127" s="1038"/>
      <c r="M127" s="1037"/>
      <c r="N127" s="1038"/>
      <c r="O127" s="1038"/>
      <c r="P127" s="1038"/>
      <c r="Q127" s="1037"/>
      <c r="R127" s="1038"/>
      <c r="S127" s="1037"/>
      <c r="T127" s="1038"/>
      <c r="U127" s="1037"/>
      <c r="V127" s="1038"/>
      <c r="W127" s="1037"/>
      <c r="X127" s="1038"/>
      <c r="Y127" s="1037"/>
      <c r="Z127" s="1038"/>
      <c r="AA127" s="1037"/>
      <c r="AB127" s="1038"/>
      <c r="AC127" s="1037"/>
      <c r="AD127" s="1038"/>
      <c r="AE127" s="1037"/>
      <c r="AF127" s="1038"/>
      <c r="AG127" s="1037"/>
      <c r="AH127" s="1038"/>
      <c r="AI127" s="1037"/>
      <c r="AJ127" s="1038"/>
      <c r="AK127" s="1037"/>
      <c r="AL127" s="1038"/>
      <c r="AM127" s="1038"/>
      <c r="AN127" s="1038"/>
      <c r="AO127" s="1038"/>
      <c r="AP127" s="1038"/>
      <c r="AQ127" s="1038"/>
      <c r="AR127" s="1038"/>
      <c r="AS127" s="1038"/>
      <c r="AT127" s="1038"/>
      <c r="AU127" s="1039"/>
      <c r="AV127" s="1039"/>
      <c r="AW127" s="1039"/>
      <c r="AX127" s="1039"/>
      <c r="AY127" s="419"/>
      <c r="AZ127" s="661"/>
    </row>
    <row r="131" spans="1:50" s="653" customFormat="1" ht="15" customHeight="1">
      <c r="B131" s="654" t="s">
        <v>221</v>
      </c>
      <c r="C131" s="655"/>
      <c r="D131" s="656"/>
      <c r="E131" s="657"/>
      <c r="F131" s="657"/>
      <c r="G131" s="657"/>
      <c r="H131" s="657"/>
      <c r="I131" s="657"/>
      <c r="J131" s="658"/>
      <c r="K131" s="659" t="e">
        <f>K4+K8+#REF!+#REF!+#REF!+K12+K16+K20+K24+K28+K32+K36+K41+K45+K49+#REF!+K54+K58+K62+K66+K70+K74+K78+K82+K86+K90+K94+K98+K102+K106+K114+K118+K122+#REF!</f>
        <v>#REF!</v>
      </c>
      <c r="L131" s="658"/>
      <c r="M131" s="659" t="e">
        <f>M4+M8+#REF!+#REF!+#REF!+M12+M16+M20+M24+M28+M32+M36+M41+M45+M49+#REF!+M54+M58+M62+M66+M70+M74+M78+M82+M86+M90+M94+M98+M102+M106+M114+M118+M122+#REF!</f>
        <v>#REF!</v>
      </c>
      <c r="N131" s="658"/>
      <c r="O131" s="659" t="e">
        <f>O4+O8+#REF!+#REF!+#REF!+O12+O16+O20+O24+O28+O32+O36+O41+O45+O49+#REF!+O54+O58+O62+O66+O70+O74+O78+O82+O86+O90+O94+O98+O102+O106+O114+O118+O122+#REF!</f>
        <v>#REF!</v>
      </c>
      <c r="P131" s="658"/>
      <c r="Q131" s="659" t="e">
        <f>Q4+Q8+#REF!+#REF!+#REF!+Q12+Q16+Q20+Q24+Q28+Q32+Q36+Q41+Q45+Q49+#REF!+Q54+Q58+Q62+Q66+Q70+Q74+Q78+Q82+Q86+Q90+Q94+Q98+Q102+Q106+Q114+Q118+Q122</f>
        <v>#REF!</v>
      </c>
      <c r="R131" s="658"/>
      <c r="S131" s="659" t="e">
        <f>S4+S8+#REF!+#REF!+#REF!+S12+S16+S20+S24+S28+S32+S36+S41+S45+S49+#REF!+S54+S58+S62+S66+S70+S74+S78+S82+S86+S90+S94+S98+S102+S106+S114+S118+S122+#REF!</f>
        <v>#REF!</v>
      </c>
      <c r="T131" s="658"/>
      <c r="U131" s="659" t="e">
        <f>U4+U8+#REF!+#REF!+#REF!+U12+U16+U20+U24+U28+U32+U36+U41+U45+U49+#REF!+U54+U58+U62+U66+U70+U74+U78+U82+U86+U90+U94+U98+U102+U106+U114+U118+U122</f>
        <v>#REF!</v>
      </c>
      <c r="V131" s="658"/>
      <c r="W131" s="659" t="e">
        <f>W4+W8+#REF!+#REF!+#REF!+W12+W16+W20+W24+W28+W32+W36+W41+W45+W49+#REF!+W54+W58+W62+W66+W70+W74+W78+W82+W86+W90+W94+W98+W102+W106+W114+W118+W122+#REF!</f>
        <v>#REF!</v>
      </c>
      <c r="X131" s="658"/>
      <c r="Y131" s="659" t="e">
        <f>Y4+Y8+#REF!+#REF!+#REF!+Y12+Y16+Y20+Y24+Y28+Y32+Y36+Y41+Y45+Y49+#REF!+Y54+Y58+Y62+Y66+Y70+Y74+Y78+Y82+Y86+Y90+Y94+Y98+Y102+Y106+Y114+Y110+Y118+Y122+#REF!</f>
        <v>#REF!</v>
      </c>
      <c r="Z131" s="660"/>
      <c r="AA131" s="659" t="e">
        <f>AA4+AA8+#REF!+#REF!+#REF!+AA12+AA16+AA20+AA24+AA28+AA32+AA36+AA41+AA45+AA49+#REF!+AA54+AA58+AA62+AA66+AA70+AA74+AA78+AA82+AA86+AA90+AA94+AA98+AA102+AA106+AA114+AA118+AA110+AA122+#REF!</f>
        <v>#REF!</v>
      </c>
      <c r="AB131" s="660"/>
      <c r="AC131" s="659" t="e">
        <f>AC4+AC8+#REF!+#REF!+#REF!+AC12+AC16+AC20+AC24+AC28+AC32+AC36+AC41+AC45+AC49+#REF!+AC54+AC58+AC62+AC66+AC70+AC74+AC78+AC82+AC86+AC90+AC94+AC98+AC102+AC106+AC114+AC118+AC110+AC122+#REF!</f>
        <v>#REF!</v>
      </c>
      <c r="AD131" s="660"/>
      <c r="AE131" s="659" t="e">
        <f>AE4+AE8+#REF!+#REF!+#REF!+AE12+AE16+AE20+AE24+AE28+AE32+AE36+AE41+AE45+AE49+#REF!+AE54+AE58+AE62+AE66+AE70+AE74+AE78+AE82+AE86+AE90+AE94+AE98+AE102+AE106+AE114+Y118+AE110+AE118+AE122+#REF!</f>
        <v>#REF!</v>
      </c>
      <c r="AF131" s="660"/>
      <c r="AG131" s="659" t="e">
        <f>AG4+AG8+#REF!+#REF!+#REF!+AG12+AG16+AG20+AG24+AG28+AG32+AG36+AG41+AG45+AG49+#REF!+AG54+AG58+AG62+AG66+AG70+AG74+AG78+AG82+AG86+AG90+AG94+AG98+AG102+AG106+AG114+AG118+AG110+AG122+#REF!</f>
        <v>#REF!</v>
      </c>
      <c r="AH131" s="660"/>
      <c r="AI131" s="659" t="e">
        <f>AI4+AI8+#REF!+#REF!+#REF!+AI12+AI16+AI20+AI24+AI28+AI32+AI36+AI41+AI45+AI49+#REF!+AI54+AI58+AI62+AI66+AI70+AI74+AI78+AI82+AI86+AI90+AI94+AI98+AI102+AI106+AI114+AI118+AI110+AI122+#REF!</f>
        <v>#REF!</v>
      </c>
      <c r="AJ131" s="660"/>
      <c r="AK131" s="659" t="e">
        <f>AK4+AK8+#REF!+#REF!+#REF!+AK12+AK16+AK20+AK24+AK28+AK32+AK36+AK41+AK45+AK49+#REF!+AK54+AK58+AK62+AK66+AK70+AK74+AK78+AK82+AK86+AK90+AK94+AK98+AK102+AK106+AK114+AK118+AK110+AK122+#REF!</f>
        <v>#REF!</v>
      </c>
      <c r="AL131" s="660"/>
      <c r="AM131" s="659" t="e">
        <f>AM4+AM8+#REF!+#REF!+#REF!+AM12+AM16+AM20+AM24+AM28+AM32+AM36+AM41+AM45+AM49+#REF!+AM54+AM58+AM62+AM66+AM70+AM74+AM78+AM82+AM86+AM90+AM94+AM98+AM102+AM106+AM114+AM118+AM110+AM122+#REF!</f>
        <v>#REF!</v>
      </c>
      <c r="AN131" s="660"/>
      <c r="AO131" s="659" t="e">
        <f>AO4+AO8+#REF!+#REF!+#REF!+AO12+AO16+AO20+AO24+AO28+AO32+AO36+AO41+AO45+AO49+#REF!+AO54+AO58+AO62+AO66+AO70+AO74+AO78+AO82+AO86+AO90+AO94+AO98+AO102+AO106+AO114+AO118+AO110+AO122+#REF!</f>
        <v>#REF!</v>
      </c>
      <c r="AP131" s="660"/>
      <c r="AQ131" s="659" t="e">
        <f>AQ4+AQ8+#REF!+#REF!+#REF!+AQ12+AQ16+AQ20+AQ24+AQ28+AQ32+AQ36+AQ41+AQ45+AQ49+#REF!+AQ54+AQ58+AQ62+AQ66+AQ70+AQ74+AQ78+AQ82+AQ86+AQ90+AQ94+AQ98+AQ102+AQ106+AQ114+AQ118+AQ110+AQ122+#REF!</f>
        <v>#REF!</v>
      </c>
      <c r="AR131" s="660"/>
      <c r="AS131" s="659" t="e">
        <f>AS4+AS8+#REF!+#REF!+#REF!+AS12+AS16+AS20+AS24+AS28+AS32+AS36+AS41+AS45+AS49+#REF!+AS54+AS58+AS62+AS66+AS70+AS74+AS78+AS82+AS86+AS90+AS94+AS98+AS102+AS106+AS114+AS118+AS110+AS122+#REF!</f>
        <v>#REF!</v>
      </c>
      <c r="AT131" s="660"/>
      <c r="AU131"/>
      <c r="AV131"/>
      <c r="AW131"/>
      <c r="AX131"/>
    </row>
    <row r="134" spans="1:50" ht="14.4">
      <c r="A134"/>
      <c r="B134"/>
      <c r="C134"/>
      <c r="D134"/>
      <c r="E134"/>
    </row>
    <row r="135" spans="1:50" ht="14.4">
      <c r="A135"/>
      <c r="B135"/>
      <c r="C135"/>
      <c r="D135"/>
      <c r="E135"/>
      <c r="AM135" s="661"/>
      <c r="AN135" s="661"/>
    </row>
    <row r="136" spans="1:50" ht="14.4">
      <c r="A136"/>
      <c r="B136"/>
      <c r="C136"/>
      <c r="D136"/>
      <c r="E136"/>
      <c r="AT136" s="189" t="s">
        <v>220</v>
      </c>
    </row>
    <row r="137" spans="1:50" ht="14.4">
      <c r="A137"/>
      <c r="B137"/>
      <c r="C137"/>
      <c r="D137"/>
      <c r="E137"/>
    </row>
    <row r="138" spans="1:50" ht="14.4">
      <c r="A138"/>
      <c r="B138"/>
      <c r="C138"/>
      <c r="D138"/>
      <c r="E138"/>
    </row>
    <row r="139" spans="1:50" ht="14.4">
      <c r="A139"/>
      <c r="B139"/>
      <c r="C139"/>
      <c r="D139"/>
      <c r="E139"/>
    </row>
    <row r="140" spans="1:50" ht="14.4">
      <c r="A140"/>
      <c r="B140" s="1263"/>
      <c r="C140" s="1264"/>
      <c r="D140" s="1264"/>
      <c r="E140"/>
    </row>
    <row r="141" spans="1:50" ht="14.4">
      <c r="A141"/>
      <c r="B141" s="716"/>
      <c r="C141" s="716"/>
      <c r="D141" s="716"/>
      <c r="E141"/>
    </row>
    <row r="142" spans="1:50" ht="14.4">
      <c r="A142"/>
      <c r="B142"/>
      <c r="C142" s="715"/>
      <c r="D142"/>
      <c r="E142"/>
    </row>
    <row r="143" spans="1:50" ht="14.4">
      <c r="A143"/>
      <c r="B143"/>
      <c r="C143"/>
      <c r="D143"/>
      <c r="E143"/>
    </row>
    <row r="144" spans="1:50" ht="14.4">
      <c r="A144"/>
      <c r="B144"/>
      <c r="C144"/>
      <c r="D144"/>
      <c r="E144"/>
    </row>
    <row r="145" spans="1:22" ht="14.4">
      <c r="A145"/>
      <c r="B145"/>
      <c r="C145"/>
      <c r="D145"/>
      <c r="E145"/>
      <c r="U145"/>
    </row>
    <row r="146" spans="1:22" ht="14.4">
      <c r="A146"/>
      <c r="B146"/>
      <c r="C146"/>
      <c r="D146"/>
      <c r="E146"/>
    </row>
    <row r="147" spans="1:22" ht="14.4">
      <c r="A147"/>
      <c r="B147"/>
      <c r="C147"/>
      <c r="D147"/>
      <c r="E147"/>
    </row>
    <row r="148" spans="1:22" ht="14.4">
      <c r="A148"/>
      <c r="B148"/>
      <c r="C148"/>
      <c r="D148"/>
      <c r="E148"/>
      <c r="U148"/>
      <c r="V148"/>
    </row>
    <row r="149" spans="1:22" ht="14.4">
      <c r="A149"/>
      <c r="B149"/>
      <c r="C149"/>
      <c r="D149"/>
      <c r="E149"/>
      <c r="U149"/>
      <c r="V149"/>
    </row>
    <row r="150" spans="1:22" ht="14.4">
      <c r="U150"/>
      <c r="V150"/>
    </row>
    <row r="151" spans="1:22" ht="14.4">
      <c r="U151"/>
      <c r="V151"/>
    </row>
    <row r="152" spans="1:22" ht="14.4">
      <c r="U152"/>
      <c r="V152"/>
    </row>
    <row r="153" spans="1:22" ht="14.4">
      <c r="U153"/>
      <c r="V153"/>
    </row>
    <row r="154" spans="1:22" ht="14.4">
      <c r="U154"/>
      <c r="V154"/>
    </row>
    <row r="155" spans="1:22" ht="14.4">
      <c r="U155"/>
      <c r="V155"/>
    </row>
    <row r="156" spans="1:22" ht="14.4">
      <c r="U156"/>
      <c r="V156"/>
    </row>
    <row r="157" spans="1:22" ht="14.4">
      <c r="U157"/>
      <c r="V157"/>
    </row>
    <row r="158" spans="1:22" ht="14.4">
      <c r="U158"/>
      <c r="V158"/>
    </row>
    <row r="159" spans="1:22" ht="14.4">
      <c r="U159"/>
      <c r="V159"/>
    </row>
    <row r="160" spans="1:22" ht="14.4">
      <c r="U160"/>
      <c r="V160"/>
    </row>
    <row r="161" spans="1:22" ht="14.4">
      <c r="A161"/>
      <c r="B161"/>
      <c r="C161"/>
      <c r="D161"/>
      <c r="E161"/>
      <c r="U161"/>
      <c r="V161"/>
    </row>
    <row r="162" spans="1:22" ht="14.4">
      <c r="A162"/>
      <c r="B162"/>
      <c r="C162"/>
      <c r="D162"/>
      <c r="E162"/>
      <c r="U162"/>
      <c r="V162"/>
    </row>
    <row r="163" spans="1:22" ht="14.4">
      <c r="A163"/>
      <c r="B163"/>
      <c r="C163"/>
      <c r="D163"/>
      <c r="E163"/>
      <c r="U163"/>
      <c r="V163"/>
    </row>
    <row r="164" spans="1:22" ht="14.4">
      <c r="A164"/>
      <c r="B164"/>
      <c r="C164"/>
      <c r="D164"/>
      <c r="E164"/>
    </row>
    <row r="165" spans="1:22" ht="14.4">
      <c r="A165"/>
      <c r="B165"/>
      <c r="C165"/>
      <c r="D165"/>
      <c r="E165"/>
    </row>
  </sheetData>
  <autoFilter ref="A2:AT108" xr:uid="{00000000-0009-0000-0000-000000000000}"/>
  <mergeCells count="382">
    <mergeCell ref="AL121:AL124"/>
    <mergeCell ref="AL117:AL120"/>
    <mergeCell ref="B77:B80"/>
    <mergeCell ref="B81:B84"/>
    <mergeCell ref="B85:B88"/>
    <mergeCell ref="B89:B92"/>
    <mergeCell ref="A93:A96"/>
    <mergeCell ref="E77:E80"/>
    <mergeCell ref="E81:E84"/>
    <mergeCell ref="E85:E88"/>
    <mergeCell ref="G121:G124"/>
    <mergeCell ref="A109:A112"/>
    <mergeCell ref="B109:B112"/>
    <mergeCell ref="C109:C112"/>
    <mergeCell ref="D105:D108"/>
    <mergeCell ref="E105:E108"/>
    <mergeCell ref="F105:F108"/>
    <mergeCell ref="G105:G108"/>
    <mergeCell ref="A77:A80"/>
    <mergeCell ref="A81:A84"/>
    <mergeCell ref="A85:A88"/>
    <mergeCell ref="A89:A92"/>
    <mergeCell ref="AD121:AD124"/>
    <mergeCell ref="AF121:AF124"/>
    <mergeCell ref="AH121:AH124"/>
    <mergeCell ref="AJ121:AJ124"/>
    <mergeCell ref="A97:A100"/>
    <mergeCell ref="B97:B100"/>
    <mergeCell ref="A105:A108"/>
    <mergeCell ref="B105:B108"/>
    <mergeCell ref="C105:C108"/>
    <mergeCell ref="A121:A124"/>
    <mergeCell ref="B121:B124"/>
    <mergeCell ref="C121:C124"/>
    <mergeCell ref="F121:F124"/>
    <mergeCell ref="A117:A120"/>
    <mergeCell ref="A113:A116"/>
    <mergeCell ref="B113:B116"/>
    <mergeCell ref="A101:A104"/>
    <mergeCell ref="B101:B104"/>
    <mergeCell ref="Z121:Z124"/>
    <mergeCell ref="AB121:AB124"/>
    <mergeCell ref="V35:V39"/>
    <mergeCell ref="V48:V52"/>
    <mergeCell ref="E31:E34"/>
    <mergeCell ref="E44:E47"/>
    <mergeCell ref="X31:X34"/>
    <mergeCell ref="P40:P43"/>
    <mergeCell ref="P44:P47"/>
    <mergeCell ref="G40:G43"/>
    <mergeCell ref="F48:F52"/>
    <mergeCell ref="L44:L47"/>
    <mergeCell ref="R35:R39"/>
    <mergeCell ref="P31:P34"/>
    <mergeCell ref="V40:V43"/>
    <mergeCell ref="V44:V47"/>
    <mergeCell ref="L35:L39"/>
    <mergeCell ref="R44:R47"/>
    <mergeCell ref="X44:X47"/>
    <mergeCell ref="F81:F84"/>
    <mergeCell ref="G73:G76"/>
    <mergeCell ref="G77:G80"/>
    <mergeCell ref="F77:F80"/>
    <mergeCell ref="R77:R80"/>
    <mergeCell ref="F73:F76"/>
    <mergeCell ref="F57:F60"/>
    <mergeCell ref="F61:F64"/>
    <mergeCell ref="T44:T47"/>
    <mergeCell ref="X48:X52"/>
    <mergeCell ref="P65:P68"/>
    <mergeCell ref="F65:F68"/>
    <mergeCell ref="P57:P60"/>
    <mergeCell ref="P69:P72"/>
    <mergeCell ref="T48:T52"/>
    <mergeCell ref="G81:G84"/>
    <mergeCell ref="R81:R84"/>
    <mergeCell ref="T69:T72"/>
    <mergeCell ref="V57:V60"/>
    <mergeCell ref="G59:G60"/>
    <mergeCell ref="R73:R76"/>
    <mergeCell ref="P61:P64"/>
    <mergeCell ref="X121:X124"/>
    <mergeCell ref="G97:G100"/>
    <mergeCell ref="F89:F92"/>
    <mergeCell ref="X113:X116"/>
    <mergeCell ref="C113:C116"/>
    <mergeCell ref="G113:G116"/>
    <mergeCell ref="F117:F120"/>
    <mergeCell ref="G117:G120"/>
    <mergeCell ref="V113:V115"/>
    <mergeCell ref="G89:G92"/>
    <mergeCell ref="D113:D116"/>
    <mergeCell ref="E113:E116"/>
    <mergeCell ref="F113:F116"/>
    <mergeCell ref="G93:G96"/>
    <mergeCell ref="F97:F100"/>
    <mergeCell ref="G101:G104"/>
    <mergeCell ref="D109:D112"/>
    <mergeCell ref="E109:E112"/>
    <mergeCell ref="F109:F112"/>
    <mergeCell ref="G109:G112"/>
    <mergeCell ref="V89:V92"/>
    <mergeCell ref="B140:D140"/>
    <mergeCell ref="B117:B120"/>
    <mergeCell ref="C117:C120"/>
    <mergeCell ref="D117:D120"/>
    <mergeCell ref="E117:E120"/>
    <mergeCell ref="B93:B96"/>
    <mergeCell ref="G85:G88"/>
    <mergeCell ref="R85:R88"/>
    <mergeCell ref="V121:V123"/>
    <mergeCell ref="E11:E14"/>
    <mergeCell ref="L27:L30"/>
    <mergeCell ref="N23:N26"/>
    <mergeCell ref="N27:N30"/>
    <mergeCell ref="N31:N34"/>
    <mergeCell ref="D11:D14"/>
    <mergeCell ref="P19:P22"/>
    <mergeCell ref="Z27:Z30"/>
    <mergeCell ref="C19:C22"/>
    <mergeCell ref="G11:G14"/>
    <mergeCell ref="D23:D26"/>
    <mergeCell ref="R27:R30"/>
    <mergeCell ref="T27:T30"/>
    <mergeCell ref="C27:C30"/>
    <mergeCell ref="X23:X26"/>
    <mergeCell ref="E23:E26"/>
    <mergeCell ref="D27:D30"/>
    <mergeCell ref="X15:X18"/>
    <mergeCell ref="P23:P26"/>
    <mergeCell ref="R19:R22"/>
    <mergeCell ref="R23:R26"/>
    <mergeCell ref="V15:V18"/>
    <mergeCell ref="T19:T22"/>
    <mergeCell ref="E69:E72"/>
    <mergeCell ref="E53:E56"/>
    <mergeCell ref="E61:E64"/>
    <mergeCell ref="G65:G68"/>
    <mergeCell ref="E15:E18"/>
    <mergeCell ref="N15:N18"/>
    <mergeCell ref="N19:N22"/>
    <mergeCell ref="G15:G18"/>
    <mergeCell ref="G19:G22"/>
    <mergeCell ref="L31:L34"/>
    <mergeCell ref="F31:F34"/>
    <mergeCell ref="E19:E22"/>
    <mergeCell ref="F15:F18"/>
    <mergeCell ref="L68:L71"/>
    <mergeCell ref="G61:G64"/>
    <mergeCell ref="G69:G72"/>
    <mergeCell ref="G57:G58"/>
    <mergeCell ref="C69:C72"/>
    <mergeCell ref="F69:F72"/>
    <mergeCell ref="C35:C39"/>
    <mergeCell ref="D35:D39"/>
    <mergeCell ref="E40:E43"/>
    <mergeCell ref="F40:F43"/>
    <mergeCell ref="F44:F47"/>
    <mergeCell ref="C48:C52"/>
    <mergeCell ref="A40:A43"/>
    <mergeCell ref="B61:B64"/>
    <mergeCell ref="C53:C56"/>
    <mergeCell ref="C57:C60"/>
    <mergeCell ref="C61:C64"/>
    <mergeCell ref="B48:B52"/>
    <mergeCell ref="D53:D56"/>
    <mergeCell ref="C65:C68"/>
    <mergeCell ref="C44:C47"/>
    <mergeCell ref="D40:D43"/>
    <mergeCell ref="D65:D68"/>
    <mergeCell ref="D69:D72"/>
    <mergeCell ref="E65:E68"/>
    <mergeCell ref="D61:D64"/>
    <mergeCell ref="E57:E60"/>
    <mergeCell ref="D57:D60"/>
    <mergeCell ref="T53:T56"/>
    <mergeCell ref="R53:R56"/>
    <mergeCell ref="D44:D47"/>
    <mergeCell ref="E48:E52"/>
    <mergeCell ref="D48:D52"/>
    <mergeCell ref="A3:A6"/>
    <mergeCell ref="N3:N6"/>
    <mergeCell ref="A7:A10"/>
    <mergeCell ref="A11:A14"/>
    <mergeCell ref="B15:B18"/>
    <mergeCell ref="D15:D18"/>
    <mergeCell ref="F7:F10"/>
    <mergeCell ref="E7:E10"/>
    <mergeCell ref="C3:C6"/>
    <mergeCell ref="F3:F6"/>
    <mergeCell ref="L3:L6"/>
    <mergeCell ref="E3:E6"/>
    <mergeCell ref="D3:D6"/>
    <mergeCell ref="G7:G10"/>
    <mergeCell ref="B7:B10"/>
    <mergeCell ref="C7:C10"/>
    <mergeCell ref="D7:D10"/>
    <mergeCell ref="N53:N56"/>
    <mergeCell ref="F11:F14"/>
    <mergeCell ref="A73:A76"/>
    <mergeCell ref="B65:B68"/>
    <mergeCell ref="B69:B72"/>
    <mergeCell ref="B73:B76"/>
    <mergeCell ref="B11:B14"/>
    <mergeCell ref="B53:B56"/>
    <mergeCell ref="B57:B60"/>
    <mergeCell ref="A61:A64"/>
    <mergeCell ref="A57:A60"/>
    <mergeCell ref="A44:A47"/>
    <mergeCell ref="A48:A52"/>
    <mergeCell ref="A53:A56"/>
    <mergeCell ref="A15:A18"/>
    <mergeCell ref="B19:B22"/>
    <mergeCell ref="A23:A26"/>
    <mergeCell ref="B27:B30"/>
    <mergeCell ref="B31:B34"/>
    <mergeCell ref="B35:B39"/>
    <mergeCell ref="A27:A30"/>
    <mergeCell ref="A31:A34"/>
    <mergeCell ref="A35:A39"/>
    <mergeCell ref="A19:A22"/>
    <mergeCell ref="B40:B43"/>
    <mergeCell ref="B44:B47"/>
    <mergeCell ref="L23:L26"/>
    <mergeCell ref="M1:N1"/>
    <mergeCell ref="P7:P10"/>
    <mergeCell ref="P11:P14"/>
    <mergeCell ref="D1:J1"/>
    <mergeCell ref="AE1:AF1"/>
    <mergeCell ref="A65:A68"/>
    <mergeCell ref="A69:A72"/>
    <mergeCell ref="B3:B6"/>
    <mergeCell ref="G3:G6"/>
    <mergeCell ref="Y1:Z1"/>
    <mergeCell ref="N11:N14"/>
    <mergeCell ref="Z7:Z10"/>
    <mergeCell ref="AA1:AB1"/>
    <mergeCell ref="Z15:Z18"/>
    <mergeCell ref="C23:C26"/>
    <mergeCell ref="C15:C18"/>
    <mergeCell ref="C40:C43"/>
    <mergeCell ref="C31:C34"/>
    <mergeCell ref="L19:L22"/>
    <mergeCell ref="D19:D22"/>
    <mergeCell ref="G23:G26"/>
    <mergeCell ref="G27:G30"/>
    <mergeCell ref="T23:T26"/>
    <mergeCell ref="X97:X100"/>
    <mergeCell ref="AB101:AB104"/>
    <mergeCell ref="K1:L1"/>
    <mergeCell ref="B23:B26"/>
    <mergeCell ref="D31:D34"/>
    <mergeCell ref="F35:F39"/>
    <mergeCell ref="P35:P39"/>
    <mergeCell ref="T31:T34"/>
    <mergeCell ref="V31:V34"/>
    <mergeCell ref="R31:R34"/>
    <mergeCell ref="P27:P30"/>
    <mergeCell ref="E27:E30"/>
    <mergeCell ref="O1:P1"/>
    <mergeCell ref="Q1:R1"/>
    <mergeCell ref="S1:T1"/>
    <mergeCell ref="U1:V1"/>
    <mergeCell ref="C11:C14"/>
    <mergeCell ref="K2:L2"/>
    <mergeCell ref="M2:N2"/>
    <mergeCell ref="G31:G34"/>
    <mergeCell ref="G35:G39"/>
    <mergeCell ref="F27:F30"/>
    <mergeCell ref="F19:F22"/>
    <mergeCell ref="F23:F26"/>
    <mergeCell ref="AU61:AU64"/>
    <mergeCell ref="AU65:AU68"/>
    <mergeCell ref="AU101:AU104"/>
    <mergeCell ref="AU69:AU72"/>
    <mergeCell ref="AU97:AU100"/>
    <mergeCell ref="AT53:AT56"/>
    <mergeCell ref="AU19:AU22"/>
    <mergeCell ref="AU23:AU26"/>
    <mergeCell ref="Z53:Z56"/>
    <mergeCell ref="Z69:Z72"/>
    <mergeCell ref="AB48:AB52"/>
    <mergeCell ref="AB44:AB47"/>
    <mergeCell ref="AB35:AB37"/>
    <mergeCell ref="AC78:AC80"/>
    <mergeCell ref="C73:C76"/>
    <mergeCell ref="C77:C80"/>
    <mergeCell ref="C81:C84"/>
    <mergeCell ref="C85:C88"/>
    <mergeCell ref="F101:F104"/>
    <mergeCell ref="E89:E92"/>
    <mergeCell ref="F85:F88"/>
    <mergeCell ref="C89:C92"/>
    <mergeCell ref="C93:C96"/>
    <mergeCell ref="D101:D104"/>
    <mergeCell ref="E101:E104"/>
    <mergeCell ref="D85:D88"/>
    <mergeCell ref="D89:D92"/>
    <mergeCell ref="D97:D100"/>
    <mergeCell ref="E97:E100"/>
    <mergeCell ref="D73:D76"/>
    <mergeCell ref="D77:D80"/>
    <mergeCell ref="D81:D84"/>
    <mergeCell ref="C97:C100"/>
    <mergeCell ref="C101:C104"/>
    <mergeCell ref="D93:D96"/>
    <mergeCell ref="E93:E96"/>
    <mergeCell ref="F93:F96"/>
    <mergeCell ref="E73:E76"/>
    <mergeCell ref="AU117:AU120"/>
    <mergeCell ref="AI1:AJ1"/>
    <mergeCell ref="AC1:AD1"/>
    <mergeCell ref="AK1:AL1"/>
    <mergeCell ref="AU35:AU39"/>
    <mergeCell ref="AU48:AU52"/>
    <mergeCell ref="AU44:AU47"/>
    <mergeCell ref="AU1:AW1"/>
    <mergeCell ref="AU7:AU10"/>
    <mergeCell ref="AU11:AU14"/>
    <mergeCell ref="AU15:AU18"/>
    <mergeCell ref="AU27:AU30"/>
    <mergeCell ref="AU3:AU6"/>
    <mergeCell ref="AU40:AU43"/>
    <mergeCell ref="AU53:AU56"/>
    <mergeCell ref="AH31:AH34"/>
    <mergeCell ref="AJ110:AJ112"/>
    <mergeCell ref="AJ113:AJ116"/>
    <mergeCell ref="AL113:AL116"/>
    <mergeCell ref="AP31:AP34"/>
    <mergeCell ref="AU105:AU108"/>
    <mergeCell ref="AU85:AU88"/>
    <mergeCell ref="AU89:AU92"/>
    <mergeCell ref="AU93:AU96"/>
    <mergeCell ref="W1:X1"/>
    <mergeCell ref="T40:T43"/>
    <mergeCell ref="AU113:AU116"/>
    <mergeCell ref="AH113:AH116"/>
    <mergeCell ref="AD23:AD26"/>
    <mergeCell ref="AR53:AR56"/>
    <mergeCell ref="AL31:AL34"/>
    <mergeCell ref="AD31:AD34"/>
    <mergeCell ref="AF81:AF84"/>
    <mergeCell ref="AF85:AF88"/>
    <mergeCell ref="AU31:AU34"/>
    <mergeCell ref="AD44:AD47"/>
    <mergeCell ref="AD48:AD52"/>
    <mergeCell ref="AD109:AD112"/>
    <mergeCell ref="AF109:AF112"/>
    <mergeCell ref="AH109:AH112"/>
    <mergeCell ref="AD78:AD80"/>
    <mergeCell ref="AU109:AU112"/>
    <mergeCell ref="AD106:AD108"/>
    <mergeCell ref="AH101:AH104"/>
    <mergeCell ref="AU73:AU76"/>
    <mergeCell ref="AU77:AU80"/>
    <mergeCell ref="AU81:AU84"/>
    <mergeCell ref="AU57:AU60"/>
    <mergeCell ref="AT31:AT34"/>
    <mergeCell ref="AR31:AR34"/>
    <mergeCell ref="AO1:AP1"/>
    <mergeCell ref="AQ1:AR1"/>
    <mergeCell ref="AM1:AN1"/>
    <mergeCell ref="AL53:AL56"/>
    <mergeCell ref="AN31:AN34"/>
    <mergeCell ref="AJ23:AJ26"/>
    <mergeCell ref="AJ31:AJ34"/>
    <mergeCell ref="AG1:AH1"/>
    <mergeCell ref="Z113:Z116"/>
    <mergeCell ref="AB113:AB116"/>
    <mergeCell ref="AD113:AD116"/>
    <mergeCell ref="AF113:AF116"/>
    <mergeCell ref="Z117:Z120"/>
    <mergeCell ref="Z110:Z112"/>
    <mergeCell ref="AB109:AB112"/>
    <mergeCell ref="Z77:Z80"/>
    <mergeCell ref="Z57:Z60"/>
    <mergeCell ref="AF31:AF34"/>
    <mergeCell ref="AB31:AB34"/>
    <mergeCell ref="AF53:AF56"/>
    <mergeCell ref="Z35:Z39"/>
    <mergeCell ref="AH105:AH108"/>
    <mergeCell ref="AB106:AB108"/>
  </mergeCells>
  <phoneticPr fontId="5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1DDC-9ADD-4109-B326-6C81DC5AFBD6}">
  <dimension ref="A1:CL173"/>
  <sheetViews>
    <sheetView zoomScaleNormal="100" workbookViewId="0">
      <pane xSplit="3" ySplit="2" topLeftCell="D89" activePane="bottomRight" state="frozen"/>
      <selection pane="topRight" activeCell="D1" sqref="D1"/>
      <selection pane="bottomLeft" activeCell="A2" sqref="A2"/>
      <selection pane="bottomRight" activeCell="A105" sqref="A105:A108"/>
    </sheetView>
  </sheetViews>
  <sheetFormatPr defaultColWidth="9" defaultRowHeight="13.8"/>
  <cols>
    <col min="1" max="1" width="7.41796875" style="189" customWidth="1"/>
    <col min="2" max="2" width="41.89453125" style="648" customWidth="1"/>
    <col min="3" max="3" width="25.3125" style="648" customWidth="1"/>
    <col min="4" max="4" width="33" style="649" customWidth="1"/>
    <col min="5" max="5" width="26" style="650" customWidth="1"/>
    <col min="6" max="9" width="11.41796875" style="650" customWidth="1"/>
    <col min="10" max="10" width="88.68359375" style="189" bestFit="1" customWidth="1"/>
    <col min="11" max="11" width="14.89453125" style="642" bestFit="1" customWidth="1"/>
    <col min="12" max="12" width="20" style="189" customWidth="1"/>
    <col min="13" max="13" width="16" style="189" bestFit="1" customWidth="1"/>
    <col min="14" max="14" width="18.1015625" style="189" customWidth="1"/>
    <col min="15" max="15" width="20" style="189" customWidth="1"/>
    <col min="16" max="16" width="21.3125" style="189" customWidth="1"/>
    <col min="17" max="17" width="20.3125" style="189" customWidth="1"/>
    <col min="18" max="18" width="16.41796875" style="189" customWidth="1"/>
    <col min="19" max="19" width="16" style="189" bestFit="1" customWidth="1"/>
    <col min="20" max="20" width="14" style="189" customWidth="1"/>
    <col min="21" max="21" width="14.89453125" style="189" customWidth="1"/>
    <col min="22" max="22" width="18" style="189" customWidth="1"/>
    <col min="23" max="23" width="15.41796875" style="189" customWidth="1"/>
    <col min="24" max="24" width="13.41796875" style="189" customWidth="1"/>
    <col min="25" max="25" width="20.3125" style="189" customWidth="1"/>
    <col min="26" max="26" width="24" style="189" customWidth="1"/>
    <col min="27" max="27" width="14.89453125" style="189" bestFit="1" customWidth="1"/>
    <col min="28" max="28" width="22.89453125" style="189" customWidth="1"/>
    <col min="29" max="29" width="16" style="189" bestFit="1" customWidth="1"/>
    <col min="30" max="30" width="17.1015625" style="189" customWidth="1"/>
    <col min="31" max="31" width="17" style="189" customWidth="1"/>
    <col min="32" max="32" width="18" style="189" customWidth="1"/>
    <col min="33" max="33" width="14.89453125" style="189" bestFit="1" customWidth="1"/>
    <col min="34" max="34" width="23.1015625" style="189" customWidth="1"/>
    <col min="35" max="35" width="15.3125" style="189" customWidth="1"/>
    <col min="36" max="36" width="15.89453125" style="189" customWidth="1"/>
    <col min="37" max="37" width="14.89453125" style="189" bestFit="1" customWidth="1"/>
    <col min="38" max="38" width="16.89453125" style="189" customWidth="1"/>
    <col min="39" max="39" width="13.41796875" style="189" bestFit="1" customWidth="1"/>
    <col min="40" max="40" width="11.1015625" style="189" customWidth="1"/>
    <col min="41" max="41" width="13.41796875" style="189" bestFit="1" customWidth="1"/>
    <col min="42" max="42" width="9" style="189"/>
    <col min="43" max="43" width="13.41796875" style="189" bestFit="1" customWidth="1"/>
    <col min="44" max="44" width="9" style="189"/>
    <col min="45" max="45" width="13.41796875" style="189" customWidth="1"/>
    <col min="46" max="46" width="9" style="189"/>
    <col min="47" max="47" width="13.1015625" style="189" customWidth="1"/>
    <col min="48" max="50" width="9" style="189"/>
    <col min="51" max="51" width="13.41796875" style="189" bestFit="1" customWidth="1"/>
    <col min="52" max="52" width="9" style="189"/>
    <col min="53" max="53" width="16.41796875" style="189" customWidth="1"/>
    <col min="54" max="54" width="16.1015625" style="189" customWidth="1"/>
    <col min="55" max="55" width="18.5234375" style="189" customWidth="1"/>
    <col min="56" max="56" width="17" style="189" customWidth="1"/>
    <col min="57" max="57" width="11.5234375" style="189" bestFit="1" customWidth="1"/>
    <col min="58" max="58" width="12.41796875" style="189" customWidth="1"/>
    <col min="59" max="60" width="9" style="189"/>
    <col min="61" max="61" width="10.5234375" style="189" bestFit="1" customWidth="1"/>
    <col min="62" max="16384" width="9" style="189"/>
  </cols>
  <sheetData>
    <row r="1" spans="1:57" ht="14.1">
      <c r="A1" s="184" t="s">
        <v>0</v>
      </c>
      <c r="B1" s="185" t="s">
        <v>1</v>
      </c>
      <c r="C1" s="185"/>
      <c r="D1" s="1045"/>
      <c r="E1" s="1045"/>
      <c r="F1" s="1045"/>
      <c r="G1" s="1045"/>
      <c r="H1" s="1045"/>
      <c r="I1" s="1045"/>
      <c r="J1" s="1045"/>
      <c r="K1" s="1045">
        <v>45717</v>
      </c>
      <c r="L1" s="1045"/>
      <c r="M1" s="1045">
        <v>45748</v>
      </c>
      <c r="N1" s="1045"/>
      <c r="O1" s="1045">
        <v>45778</v>
      </c>
      <c r="P1" s="1045"/>
      <c r="Q1" s="1045">
        <v>45809</v>
      </c>
      <c r="R1" s="1045"/>
      <c r="S1" s="1045">
        <v>45839</v>
      </c>
      <c r="T1" s="1045"/>
      <c r="U1" s="1045">
        <v>45870</v>
      </c>
      <c r="V1" s="1045"/>
      <c r="W1" s="1045">
        <v>45901</v>
      </c>
      <c r="X1" s="1045"/>
      <c r="Y1" s="1045">
        <v>45931</v>
      </c>
      <c r="Z1" s="1045"/>
      <c r="AA1" s="1045">
        <v>45962</v>
      </c>
      <c r="AB1" s="1045"/>
      <c r="AC1" s="1045">
        <v>45992</v>
      </c>
      <c r="AD1" s="1045"/>
      <c r="AE1" s="1045">
        <v>46023</v>
      </c>
      <c r="AF1" s="1045"/>
      <c r="AG1" s="1045">
        <v>46054</v>
      </c>
      <c r="AH1" s="1045"/>
      <c r="AI1" s="1045">
        <v>46082</v>
      </c>
      <c r="AJ1" s="1045"/>
      <c r="AK1" s="1045">
        <v>46113</v>
      </c>
      <c r="AL1" s="1045"/>
      <c r="AM1" s="1045">
        <v>46143</v>
      </c>
      <c r="AN1" s="1045"/>
      <c r="AO1" s="1045">
        <v>46174</v>
      </c>
      <c r="AP1" s="1045"/>
      <c r="AQ1" s="1045">
        <v>46204</v>
      </c>
      <c r="AR1" s="1045"/>
      <c r="AS1" s="186">
        <v>46235</v>
      </c>
      <c r="AT1" s="187"/>
      <c r="AU1" s="1482">
        <v>45926</v>
      </c>
      <c r="AV1" s="1483"/>
      <c r="AW1" s="1482">
        <v>46321</v>
      </c>
      <c r="AX1" s="1484"/>
      <c r="AY1" s="1484">
        <v>46352</v>
      </c>
      <c r="AZ1" s="1484"/>
      <c r="BA1" s="1077" t="s">
        <v>2</v>
      </c>
      <c r="BB1" s="1078"/>
      <c r="BC1" s="1079"/>
      <c r="BD1" s="188"/>
    </row>
    <row r="2" spans="1:57" ht="14.4" thickBot="1">
      <c r="A2" s="190" t="s">
        <v>3</v>
      </c>
      <c r="B2" s="191" t="s">
        <v>4</v>
      </c>
      <c r="C2" s="191" t="s">
        <v>5</v>
      </c>
      <c r="D2" s="192" t="s">
        <v>6</v>
      </c>
      <c r="E2" s="190" t="s">
        <v>7</v>
      </c>
      <c r="F2" s="190" t="s">
        <v>8</v>
      </c>
      <c r="G2" s="190" t="s">
        <v>9</v>
      </c>
      <c r="H2" s="190" t="s">
        <v>10</v>
      </c>
      <c r="I2" s="190" t="s">
        <v>11</v>
      </c>
      <c r="J2" s="193" t="s">
        <v>12</v>
      </c>
      <c r="K2" s="1136"/>
      <c r="L2" s="1136"/>
      <c r="M2" s="1136"/>
      <c r="N2" s="1136"/>
      <c r="O2" s="190" t="s">
        <v>13</v>
      </c>
      <c r="P2" s="190" t="s">
        <v>12</v>
      </c>
      <c r="Q2" s="190" t="s">
        <v>13</v>
      </c>
      <c r="R2" s="190" t="s">
        <v>12</v>
      </c>
      <c r="S2" s="194" t="s">
        <v>13</v>
      </c>
      <c r="T2" s="194" t="s">
        <v>12</v>
      </c>
      <c r="U2" s="194" t="s">
        <v>13</v>
      </c>
      <c r="V2" s="194" t="s">
        <v>12</v>
      </c>
      <c r="W2" s="194" t="s">
        <v>13</v>
      </c>
      <c r="X2" s="194" t="s">
        <v>12</v>
      </c>
      <c r="Y2" s="194" t="s">
        <v>13</v>
      </c>
      <c r="Z2" s="194" t="s">
        <v>12</v>
      </c>
      <c r="AA2" s="194" t="s">
        <v>13</v>
      </c>
      <c r="AB2" s="194" t="s">
        <v>12</v>
      </c>
      <c r="AC2" s="194" t="s">
        <v>13</v>
      </c>
      <c r="AD2" s="194" t="s">
        <v>12</v>
      </c>
      <c r="AE2" s="194" t="s">
        <v>13</v>
      </c>
      <c r="AF2" s="194" t="s">
        <v>12</v>
      </c>
      <c r="AG2" s="194" t="s">
        <v>13</v>
      </c>
      <c r="AH2" s="194" t="s">
        <v>12</v>
      </c>
      <c r="AI2" s="194" t="s">
        <v>13</v>
      </c>
      <c r="AJ2" s="194" t="s">
        <v>12</v>
      </c>
      <c r="AK2" s="194" t="s">
        <v>13</v>
      </c>
      <c r="AL2" s="194" t="s">
        <v>12</v>
      </c>
      <c r="AM2" s="194" t="s">
        <v>13</v>
      </c>
      <c r="AN2" s="194" t="s">
        <v>12</v>
      </c>
      <c r="AO2" s="194" t="s">
        <v>13</v>
      </c>
      <c r="AP2" s="194" t="s">
        <v>12</v>
      </c>
      <c r="AQ2" s="194" t="s">
        <v>13</v>
      </c>
      <c r="AR2" s="194" t="s">
        <v>12</v>
      </c>
      <c r="AS2" s="194" t="s">
        <v>13</v>
      </c>
      <c r="AT2" s="195" t="s">
        <v>12</v>
      </c>
      <c r="AU2" s="196" t="s">
        <v>13</v>
      </c>
      <c r="AV2" s="196" t="s">
        <v>14</v>
      </c>
      <c r="AW2" s="196" t="s">
        <v>13</v>
      </c>
      <c r="AX2" s="196" t="s">
        <v>14</v>
      </c>
      <c r="AY2" s="196" t="s">
        <v>13</v>
      </c>
      <c r="AZ2" s="196" t="s">
        <v>14</v>
      </c>
      <c r="BA2" s="197" t="s">
        <v>15</v>
      </c>
      <c r="BB2" s="197" t="s">
        <v>16</v>
      </c>
      <c r="BC2" s="197" t="s">
        <v>17</v>
      </c>
      <c r="BD2" s="198" t="s">
        <v>18</v>
      </c>
    </row>
    <row r="3" spans="1:57">
      <c r="A3" s="1195">
        <v>1</v>
      </c>
      <c r="B3" s="1116" t="s">
        <v>19</v>
      </c>
      <c r="C3" s="1170" t="s">
        <v>20</v>
      </c>
      <c r="D3" s="1204">
        <v>1091850</v>
      </c>
      <c r="E3" s="1133" t="s">
        <v>751</v>
      </c>
      <c r="F3" s="1138" t="s">
        <v>21</v>
      </c>
      <c r="G3" s="1138" t="s">
        <v>22</v>
      </c>
      <c r="H3" s="199" t="s">
        <v>23</v>
      </c>
      <c r="I3" s="200" t="s">
        <v>24</v>
      </c>
      <c r="J3" s="201" t="s">
        <v>746</v>
      </c>
      <c r="K3" s="202"/>
      <c r="L3" s="1432"/>
      <c r="M3" s="203">
        <f>D3</f>
        <v>1091850</v>
      </c>
      <c r="N3" s="1399" t="s">
        <v>690</v>
      </c>
      <c r="O3" s="204"/>
      <c r="P3" s="205"/>
      <c r="Q3" s="204"/>
      <c r="R3" s="205"/>
      <c r="S3" s="204"/>
      <c r="T3" s="205"/>
      <c r="U3" s="204"/>
      <c r="V3" s="201"/>
      <c r="W3" s="204"/>
      <c r="X3" s="201"/>
      <c r="Y3" s="204"/>
      <c r="Z3" s="201"/>
      <c r="AA3" s="204"/>
      <c r="AB3" s="201"/>
      <c r="AC3" s="204"/>
      <c r="AD3" s="201"/>
      <c r="AE3" s="204"/>
      <c r="AF3" s="201"/>
      <c r="AG3" s="204"/>
      <c r="AH3" s="201"/>
      <c r="AI3" s="204"/>
      <c r="AJ3" s="201"/>
      <c r="AK3" s="204"/>
      <c r="AL3" s="201"/>
      <c r="AM3" s="206"/>
      <c r="AN3" s="201"/>
      <c r="AO3" s="206"/>
      <c r="AP3" s="201"/>
      <c r="AQ3" s="206"/>
      <c r="AR3" s="201"/>
      <c r="AS3" s="206"/>
      <c r="AT3" s="201"/>
      <c r="AU3" s="206"/>
      <c r="AV3" s="201"/>
      <c r="AW3" s="596"/>
      <c r="AX3" s="596"/>
      <c r="AY3" s="596"/>
      <c r="AZ3" s="596"/>
      <c r="BA3" s="1385">
        <f>D3</f>
        <v>1091850</v>
      </c>
      <c r="BB3" s="207">
        <f>K3+M3+O3+Q3+S3+U3+W3+Y3+AA3+AC3+AE3+AG3+AI3</f>
        <v>1091850</v>
      </c>
      <c r="BC3" s="208">
        <f>M3+O3+Q3+S3+U3+W3+Y3+AA3+AC3+AE3+AG3+AI3+AK3+AM3+AO3+AQ3+AS3+AU3</f>
        <v>1091850</v>
      </c>
      <c r="BD3" s="209"/>
    </row>
    <row r="4" spans="1:57" ht="14.1">
      <c r="A4" s="1196"/>
      <c r="B4" s="1117"/>
      <c r="C4" s="1171"/>
      <c r="D4" s="1185"/>
      <c r="E4" s="1134"/>
      <c r="F4" s="1139"/>
      <c r="G4" s="1139"/>
      <c r="H4" s="210" t="s">
        <v>25</v>
      </c>
      <c r="I4" s="211" t="s">
        <v>26</v>
      </c>
      <c r="J4" s="212"/>
      <c r="K4" s="213"/>
      <c r="L4" s="1215"/>
      <c r="M4" s="214"/>
      <c r="N4" s="1400"/>
      <c r="O4" s="215"/>
      <c r="P4" s="216"/>
      <c r="Q4" s="215"/>
      <c r="R4" s="216"/>
      <c r="S4" s="215"/>
      <c r="T4" s="216"/>
      <c r="U4" s="215"/>
      <c r="V4" s="212"/>
      <c r="W4" s="215"/>
      <c r="X4" s="212"/>
      <c r="Y4" s="215"/>
      <c r="Z4" s="212"/>
      <c r="AA4" s="215"/>
      <c r="AB4" s="212"/>
      <c r="AC4" s="215"/>
      <c r="AD4" s="212"/>
      <c r="AE4" s="215"/>
      <c r="AF4" s="212"/>
      <c r="AG4" s="215"/>
      <c r="AH4" s="212"/>
      <c r="AI4" s="215"/>
      <c r="AJ4" s="212"/>
      <c r="AK4" s="215"/>
      <c r="AL4" s="212"/>
      <c r="AM4" s="217"/>
      <c r="AN4" s="212"/>
      <c r="AO4" s="217"/>
      <c r="AP4" s="212"/>
      <c r="AQ4" s="217"/>
      <c r="AR4" s="212"/>
      <c r="AS4" s="217"/>
      <c r="AT4" s="212"/>
      <c r="AU4" s="217"/>
      <c r="AV4" s="212"/>
      <c r="AW4" s="356"/>
      <c r="AX4" s="356"/>
      <c r="AY4" s="356"/>
      <c r="AZ4" s="356"/>
      <c r="BA4" s="1383"/>
      <c r="BB4" s="218"/>
      <c r="BC4" s="219"/>
      <c r="BD4" s="220">
        <f>M4+O4+Q4+S4+U4+W4+Y4+AA4+AC4+AE4+AG4+AI4+AK4+AM4+AO4+AQ4+AS4+AU4</f>
        <v>0</v>
      </c>
      <c r="BE4" s="189" t="s">
        <v>691</v>
      </c>
    </row>
    <row r="5" spans="1:57">
      <c r="A5" s="1196"/>
      <c r="B5" s="1117"/>
      <c r="C5" s="1171"/>
      <c r="D5" s="1185"/>
      <c r="E5" s="1134"/>
      <c r="F5" s="1139"/>
      <c r="G5" s="1139"/>
      <c r="H5" s="210" t="s">
        <v>27</v>
      </c>
      <c r="I5" s="211" t="s">
        <v>28</v>
      </c>
      <c r="J5" s="212" t="s">
        <v>29</v>
      </c>
      <c r="K5" s="213"/>
      <c r="L5" s="1215"/>
      <c r="M5" s="214"/>
      <c r="N5" s="1400"/>
      <c r="O5" s="215"/>
      <c r="P5" s="221"/>
      <c r="Q5" s="215"/>
      <c r="R5" s="221"/>
      <c r="S5" s="215"/>
      <c r="T5" s="221"/>
      <c r="U5" s="215"/>
      <c r="V5" s="212"/>
      <c r="W5" s="215"/>
      <c r="X5" s="212"/>
      <c r="Y5" s="215"/>
      <c r="Z5" s="212"/>
      <c r="AA5" s="215"/>
      <c r="AB5" s="212"/>
      <c r="AC5" s="215"/>
      <c r="AD5" s="212"/>
      <c r="AE5" s="215"/>
      <c r="AF5" s="212"/>
      <c r="AG5" s="215"/>
      <c r="AH5" s="212"/>
      <c r="AI5" s="215"/>
      <c r="AJ5" s="212"/>
      <c r="AK5" s="215"/>
      <c r="AL5" s="212"/>
      <c r="AM5" s="217"/>
      <c r="AN5" s="212"/>
      <c r="AO5" s="217"/>
      <c r="AP5" s="212"/>
      <c r="AQ5" s="217"/>
      <c r="AR5" s="212"/>
      <c r="AS5" s="217"/>
      <c r="AT5" s="212"/>
      <c r="AU5" s="217"/>
      <c r="AV5" s="212"/>
      <c r="AW5" s="356"/>
      <c r="AX5" s="356"/>
      <c r="AY5" s="356"/>
      <c r="AZ5" s="356"/>
      <c r="BA5" s="1383"/>
      <c r="BB5" s="218"/>
      <c r="BC5" s="219"/>
      <c r="BD5" s="222"/>
    </row>
    <row r="6" spans="1:57" ht="14.1" thickBot="1">
      <c r="A6" s="1197"/>
      <c r="B6" s="1117"/>
      <c r="C6" s="1171"/>
      <c r="D6" s="1186"/>
      <c r="E6" s="1203"/>
      <c r="F6" s="1139"/>
      <c r="G6" s="1139"/>
      <c r="H6" s="210" t="s">
        <v>30</v>
      </c>
      <c r="I6" s="223" t="s">
        <v>31</v>
      </c>
      <c r="J6" s="224" t="s">
        <v>32</v>
      </c>
      <c r="K6" s="225"/>
      <c r="L6" s="1215"/>
      <c r="M6" s="226"/>
      <c r="N6" s="1400"/>
      <c r="O6" s="227"/>
      <c r="P6" s="228"/>
      <c r="Q6" s="227"/>
      <c r="R6" s="228"/>
      <c r="S6" s="227"/>
      <c r="T6" s="228"/>
      <c r="U6" s="227"/>
      <c r="V6" s="229"/>
      <c r="W6" s="227"/>
      <c r="X6" s="229"/>
      <c r="Y6" s="227"/>
      <c r="Z6" s="229"/>
      <c r="AA6" s="227"/>
      <c r="AB6" s="229"/>
      <c r="AC6" s="227"/>
      <c r="AD6" s="229"/>
      <c r="AE6" s="227"/>
      <c r="AF6" s="229"/>
      <c r="AG6" s="227"/>
      <c r="AH6" s="229"/>
      <c r="AI6" s="227"/>
      <c r="AJ6" s="229"/>
      <c r="AK6" s="227"/>
      <c r="AL6" s="229"/>
      <c r="AM6" s="217"/>
      <c r="AN6" s="229"/>
      <c r="AO6" s="217"/>
      <c r="AP6" s="229"/>
      <c r="AQ6" s="217"/>
      <c r="AR6" s="229"/>
      <c r="AS6" s="217"/>
      <c r="AT6" s="229"/>
      <c r="AU6" s="217"/>
      <c r="AV6" s="229"/>
      <c r="AW6" s="356"/>
      <c r="AX6" s="356"/>
      <c r="AY6" s="356"/>
      <c r="AZ6" s="356"/>
      <c r="BA6" s="1383"/>
      <c r="BB6" s="218"/>
      <c r="BC6" s="230"/>
      <c r="BD6" s="222"/>
    </row>
    <row r="7" spans="1:57">
      <c r="A7" s="1198">
        <f>A3+1</f>
        <v>2</v>
      </c>
      <c r="B7" s="1164" t="s">
        <v>692</v>
      </c>
      <c r="C7" s="1085" t="s">
        <v>33</v>
      </c>
      <c r="D7" s="1200">
        <v>0</v>
      </c>
      <c r="E7" s="1202" t="s">
        <v>34</v>
      </c>
      <c r="F7" s="1138" t="s">
        <v>21</v>
      </c>
      <c r="G7" s="1138" t="s">
        <v>22</v>
      </c>
      <c r="H7" s="199" t="s">
        <v>23</v>
      </c>
      <c r="I7" s="231" t="s">
        <v>24</v>
      </c>
      <c r="J7" s="201" t="s">
        <v>35</v>
      </c>
      <c r="K7" s="232"/>
      <c r="L7" s="233"/>
      <c r="M7" s="234"/>
      <c r="N7" s="235"/>
      <c r="O7" s="236">
        <f>D7/2</f>
        <v>0</v>
      </c>
      <c r="P7" s="1402" t="s">
        <v>36</v>
      </c>
      <c r="Q7" s="237"/>
      <c r="R7" s="205"/>
      <c r="S7" s="238"/>
      <c r="T7" s="205"/>
      <c r="U7" s="239"/>
      <c r="V7" s="201"/>
      <c r="W7" s="238"/>
      <c r="X7" s="201"/>
      <c r="Y7" s="240">
        <f>21828+83420+27780+55060</f>
        <v>188088</v>
      </c>
      <c r="Z7" s="1402" t="s">
        <v>37</v>
      </c>
      <c r="AA7" s="201"/>
      <c r="AB7" s="201"/>
      <c r="AC7" s="237"/>
      <c r="AD7" s="201"/>
      <c r="AE7" s="239"/>
      <c r="AF7" s="201"/>
      <c r="AG7" s="239"/>
      <c r="AH7" s="201"/>
      <c r="AI7" s="239"/>
      <c r="AJ7" s="201"/>
      <c r="AK7" s="239"/>
      <c r="AL7" s="201"/>
      <c r="AM7" s="238"/>
      <c r="AN7" s="201"/>
      <c r="AO7" s="238"/>
      <c r="AP7" s="201"/>
      <c r="AQ7" s="238"/>
      <c r="AR7" s="201"/>
      <c r="AS7" s="238"/>
      <c r="AT7" s="201"/>
      <c r="AU7" s="238"/>
      <c r="AV7" s="201"/>
      <c r="AW7" s="596"/>
      <c r="AX7" s="596"/>
      <c r="AY7" s="596"/>
      <c r="AZ7" s="596"/>
      <c r="BA7" s="1385">
        <f>D7</f>
        <v>0</v>
      </c>
      <c r="BB7" s="241">
        <f>K7+M7+O7+Q7+S7+U7+W7+Y7+AA7+AC7+AE7+AG7+AI7</f>
        <v>188088</v>
      </c>
      <c r="BC7" s="208">
        <f>M7+O7+Q7+S7+U7+W7+Y7+AA7+AC7+AE7+AG7+AI7+AK7+AM7+AO7+AQ7+AS7+AU7</f>
        <v>188088</v>
      </c>
      <c r="BD7" s="209"/>
    </row>
    <row r="8" spans="1:57" ht="14.1">
      <c r="A8" s="1177"/>
      <c r="B8" s="1165"/>
      <c r="C8" s="1086"/>
      <c r="D8" s="1201"/>
      <c r="E8" s="1139"/>
      <c r="F8" s="1139"/>
      <c r="G8" s="1139"/>
      <c r="H8" s="210" t="s">
        <v>25</v>
      </c>
      <c r="I8" s="242" t="s">
        <v>26</v>
      </c>
      <c r="J8" s="224" t="s">
        <v>38</v>
      </c>
      <c r="K8" s="243"/>
      <c r="L8" s="244"/>
      <c r="M8" s="245"/>
      <c r="N8" s="246"/>
      <c r="O8" s="247"/>
      <c r="P8" s="1381"/>
      <c r="Q8" s="248"/>
      <c r="R8" s="221"/>
      <c r="S8" s="249"/>
      <c r="T8" s="221"/>
      <c r="U8" s="250"/>
      <c r="V8" s="212"/>
      <c r="W8" s="249"/>
      <c r="X8" s="212"/>
      <c r="Y8" s="251"/>
      <c r="Z8" s="1381"/>
      <c r="AA8" s="212"/>
      <c r="AB8" s="212"/>
      <c r="AC8" s="248"/>
      <c r="AD8" s="212"/>
      <c r="AE8" s="250"/>
      <c r="AF8" s="212"/>
      <c r="AG8" s="250"/>
      <c r="AH8" s="212"/>
      <c r="AI8" s="250"/>
      <c r="AJ8" s="212"/>
      <c r="AK8" s="250"/>
      <c r="AL8" s="212"/>
      <c r="AM8" s="252"/>
      <c r="AN8" s="212"/>
      <c r="AO8" s="252"/>
      <c r="AP8" s="212"/>
      <c r="AQ8" s="252"/>
      <c r="AR8" s="212"/>
      <c r="AS8" s="252"/>
      <c r="AT8" s="212"/>
      <c r="AU8" s="252"/>
      <c r="AV8" s="212"/>
      <c r="AW8" s="356"/>
      <c r="AX8" s="356"/>
      <c r="AY8" s="356"/>
      <c r="AZ8" s="356"/>
      <c r="BA8" s="1383"/>
      <c r="BB8" s="253"/>
      <c r="BC8" s="253"/>
      <c r="BD8" s="254">
        <f>M8+O8+Q8+S8+U8+W8+Y8+AA8+AC8+AE8+AG8+AI8+AK8+AM8+AO8+AQ8+AS8+AU8</f>
        <v>0</v>
      </c>
      <c r="BE8" s="189" t="s">
        <v>691</v>
      </c>
    </row>
    <row r="9" spans="1:57">
      <c r="A9" s="1177"/>
      <c r="B9" s="1165"/>
      <c r="C9" s="1086"/>
      <c r="D9" s="1201"/>
      <c r="E9" s="1139"/>
      <c r="F9" s="1139"/>
      <c r="G9" s="1139"/>
      <c r="H9" s="210" t="s">
        <v>27</v>
      </c>
      <c r="I9" s="211" t="s">
        <v>28</v>
      </c>
      <c r="J9" s="212" t="s">
        <v>39</v>
      </c>
      <c r="K9" s="243"/>
      <c r="L9" s="244"/>
      <c r="M9" s="245"/>
      <c r="N9" s="246"/>
      <c r="O9" s="247"/>
      <c r="P9" s="1381"/>
      <c r="Q9" s="248"/>
      <c r="R9" s="221"/>
      <c r="S9" s="249"/>
      <c r="T9" s="221"/>
      <c r="U9" s="250"/>
      <c r="V9" s="212"/>
      <c r="W9" s="249"/>
      <c r="X9" s="212"/>
      <c r="Y9" s="255"/>
      <c r="Z9" s="1381"/>
      <c r="AA9" s="212"/>
      <c r="AB9" s="212"/>
      <c r="AC9" s="248"/>
      <c r="AD9" s="212"/>
      <c r="AE9" s="250"/>
      <c r="AF9" s="212"/>
      <c r="AG9" s="250"/>
      <c r="AH9" s="212"/>
      <c r="AI9" s="250"/>
      <c r="AJ9" s="212"/>
      <c r="AK9" s="250"/>
      <c r="AL9" s="212"/>
      <c r="AM9" s="252"/>
      <c r="AN9" s="212"/>
      <c r="AO9" s="252"/>
      <c r="AP9" s="212"/>
      <c r="AQ9" s="252"/>
      <c r="AR9" s="212"/>
      <c r="AS9" s="252"/>
      <c r="AT9" s="212"/>
      <c r="AU9" s="252"/>
      <c r="AV9" s="212"/>
      <c r="AW9" s="356"/>
      <c r="AX9" s="356"/>
      <c r="AY9" s="356"/>
      <c r="AZ9" s="356"/>
      <c r="BA9" s="1383"/>
      <c r="BB9" s="253"/>
      <c r="BC9" s="253"/>
      <c r="BD9" s="256"/>
    </row>
    <row r="10" spans="1:57" ht="14.1" thickBot="1">
      <c r="A10" s="1177"/>
      <c r="B10" s="1165"/>
      <c r="C10" s="1086"/>
      <c r="D10" s="1201"/>
      <c r="E10" s="1139"/>
      <c r="F10" s="1139"/>
      <c r="G10" s="1139"/>
      <c r="H10" s="210" t="s">
        <v>30</v>
      </c>
      <c r="I10" s="223" t="s">
        <v>31</v>
      </c>
      <c r="J10" s="257" t="s">
        <v>40</v>
      </c>
      <c r="K10" s="258"/>
      <c r="L10" s="259"/>
      <c r="M10" s="260"/>
      <c r="N10" s="261"/>
      <c r="O10" s="247"/>
      <c r="P10" s="1381"/>
      <c r="Q10" s="262"/>
      <c r="R10" s="228"/>
      <c r="S10" s="249"/>
      <c r="T10" s="228"/>
      <c r="U10" s="249"/>
      <c r="V10" s="229"/>
      <c r="W10" s="249"/>
      <c r="X10" s="229"/>
      <c r="Y10" s="255"/>
      <c r="Z10" s="1381"/>
      <c r="AA10" s="229"/>
      <c r="AB10" s="229"/>
      <c r="AC10" s="262"/>
      <c r="AD10" s="229"/>
      <c r="AE10" s="249"/>
      <c r="AF10" s="229"/>
      <c r="AG10" s="249"/>
      <c r="AH10" s="229"/>
      <c r="AI10" s="249"/>
      <c r="AJ10" s="229"/>
      <c r="AK10" s="249"/>
      <c r="AL10" s="229"/>
      <c r="AM10" s="252"/>
      <c r="AN10" s="229"/>
      <c r="AO10" s="252"/>
      <c r="AP10" s="229"/>
      <c r="AQ10" s="252"/>
      <c r="AR10" s="229"/>
      <c r="AS10" s="252"/>
      <c r="AT10" s="229"/>
      <c r="AU10" s="252"/>
      <c r="AV10" s="229"/>
      <c r="AW10" s="356"/>
      <c r="AX10" s="356"/>
      <c r="AY10" s="356"/>
      <c r="AZ10" s="356"/>
      <c r="BA10" s="1383"/>
      <c r="BB10" s="253"/>
      <c r="BC10" s="253"/>
      <c r="BD10" s="256"/>
    </row>
    <row r="11" spans="1:57">
      <c r="A11" s="1198">
        <v>6</v>
      </c>
      <c r="B11" s="1154" t="s">
        <v>693</v>
      </c>
      <c r="C11" s="1087" t="s">
        <v>33</v>
      </c>
      <c r="D11" s="1200">
        <v>399750</v>
      </c>
      <c r="E11" s="1138" t="s">
        <v>41</v>
      </c>
      <c r="F11" s="1138" t="s">
        <v>21</v>
      </c>
      <c r="G11" s="1138" t="s">
        <v>22</v>
      </c>
      <c r="H11" s="199" t="s">
        <v>23</v>
      </c>
      <c r="I11" s="200" t="s">
        <v>42</v>
      </c>
      <c r="J11" s="280" t="s">
        <v>45</v>
      </c>
      <c r="K11" s="281"/>
      <c r="L11" s="282"/>
      <c r="M11" s="283">
        <f>D11</f>
        <v>399750</v>
      </c>
      <c r="N11" s="1478" t="s">
        <v>46</v>
      </c>
      <c r="O11" s="284"/>
      <c r="P11" s="1480"/>
      <c r="Q11" s="205"/>
      <c r="R11" s="265"/>
      <c r="S11" s="285"/>
      <c r="T11" s="264"/>
      <c r="U11" s="239"/>
      <c r="V11" s="201"/>
      <c r="W11" s="239"/>
      <c r="X11" s="264"/>
      <c r="Y11" s="285"/>
      <c r="Z11" s="264"/>
      <c r="AA11" s="239"/>
      <c r="AB11" s="201"/>
      <c r="AC11" s="239"/>
      <c r="AD11" s="201"/>
      <c r="AE11" s="239"/>
      <c r="AF11" s="201"/>
      <c r="AG11" s="239"/>
      <c r="AH11" s="201"/>
      <c r="AI11" s="239"/>
      <c r="AJ11" s="201"/>
      <c r="AK11" s="239"/>
      <c r="AL11" s="201"/>
      <c r="AM11" s="238"/>
      <c r="AN11" s="201"/>
      <c r="AO11" s="238"/>
      <c r="AP11" s="201"/>
      <c r="AQ11" s="238"/>
      <c r="AR11" s="201"/>
      <c r="AS11" s="238"/>
      <c r="AT11" s="201"/>
      <c r="AU11" s="238"/>
      <c r="AV11" s="201"/>
      <c r="AW11" s="596"/>
      <c r="AX11" s="596"/>
      <c r="AY11" s="596"/>
      <c r="AZ11" s="596"/>
      <c r="BA11" s="1385">
        <f>D11</f>
        <v>399750</v>
      </c>
      <c r="BB11" s="241">
        <f>K11+M11+O11+Q11+S11+U11+W11+Y11+AA11+AC11+AE11+AG11+AI11</f>
        <v>399750</v>
      </c>
      <c r="BC11" s="267">
        <f>M11+O11+Q11+S11+U11+W11+Y11+AA11+AC11+AE11+AG11+AI11+AK11+AM11+AO11+AQ11+AS11+AU11</f>
        <v>399750</v>
      </c>
      <c r="BD11" s="268"/>
    </row>
    <row r="12" spans="1:57" ht="14.1">
      <c r="A12" s="1177"/>
      <c r="B12" s="1155"/>
      <c r="C12" s="1088"/>
      <c r="D12" s="1201"/>
      <c r="E12" s="1139"/>
      <c r="F12" s="1139"/>
      <c r="G12" s="1139"/>
      <c r="H12" s="210" t="s">
        <v>25</v>
      </c>
      <c r="I12" s="211" t="s">
        <v>43</v>
      </c>
      <c r="J12" s="286" t="s">
        <v>44</v>
      </c>
      <c r="K12" s="287"/>
      <c r="L12" s="270"/>
      <c r="M12" s="288"/>
      <c r="N12" s="1479"/>
      <c r="O12" s="289"/>
      <c r="P12" s="1481"/>
      <c r="Q12" s="221"/>
      <c r="R12" s="273"/>
      <c r="S12" s="276"/>
      <c r="T12" s="272"/>
      <c r="U12" s="250"/>
      <c r="V12" s="212"/>
      <c r="W12" s="250"/>
      <c r="X12" s="272"/>
      <c r="Y12" s="276"/>
      <c r="Z12" s="272"/>
      <c r="AA12" s="250"/>
      <c r="AB12" s="212"/>
      <c r="AC12" s="250"/>
      <c r="AD12" s="212"/>
      <c r="AE12" s="250"/>
      <c r="AF12" s="212"/>
      <c r="AG12" s="250"/>
      <c r="AH12" s="212"/>
      <c r="AI12" s="250"/>
      <c r="AJ12" s="212"/>
      <c r="AK12" s="250"/>
      <c r="AL12" s="212"/>
      <c r="AM12" s="252"/>
      <c r="AN12" s="212"/>
      <c r="AO12" s="252"/>
      <c r="AP12" s="212"/>
      <c r="AQ12" s="252"/>
      <c r="AR12" s="212"/>
      <c r="AS12" s="252"/>
      <c r="AT12" s="212"/>
      <c r="AU12" s="252"/>
      <c r="AV12" s="212"/>
      <c r="AW12" s="356"/>
      <c r="AX12" s="356"/>
      <c r="AY12" s="356"/>
      <c r="AZ12" s="356"/>
      <c r="BA12" s="1383"/>
      <c r="BB12" s="253"/>
      <c r="BC12" s="218"/>
      <c r="BD12" s="220">
        <f>M12+O12+Q12+S12+U12+W12+Y12+AA12+AC12+AE12+AG12+AI12+AK12+AM12+AO12+AQ12+AS12+AU12</f>
        <v>0</v>
      </c>
      <c r="BE12" s="189" t="s">
        <v>691</v>
      </c>
    </row>
    <row r="13" spans="1:57">
      <c r="A13" s="1177"/>
      <c r="B13" s="1155"/>
      <c r="C13" s="1088"/>
      <c r="D13" s="1201"/>
      <c r="E13" s="1139"/>
      <c r="F13" s="1139"/>
      <c r="G13" s="1139"/>
      <c r="H13" s="210" t="s">
        <v>27</v>
      </c>
      <c r="I13" s="211" t="s">
        <v>28</v>
      </c>
      <c r="J13" s="212" t="s">
        <v>47</v>
      </c>
      <c r="K13" s="287"/>
      <c r="L13" s="270"/>
      <c r="M13" s="290"/>
      <c r="N13" s="1479"/>
      <c r="O13" s="289"/>
      <c r="P13" s="1481"/>
      <c r="Q13" s="221"/>
      <c r="R13" s="273"/>
      <c r="S13" s="276"/>
      <c r="T13" s="272"/>
      <c r="U13" s="250"/>
      <c r="V13" s="212"/>
      <c r="W13" s="250"/>
      <c r="X13" s="272"/>
      <c r="Y13" s="276"/>
      <c r="Z13" s="272"/>
      <c r="AA13" s="250"/>
      <c r="AB13" s="212"/>
      <c r="AC13" s="250"/>
      <c r="AD13" s="212"/>
      <c r="AE13" s="250"/>
      <c r="AF13" s="212"/>
      <c r="AG13" s="250"/>
      <c r="AH13" s="212"/>
      <c r="AI13" s="250"/>
      <c r="AJ13" s="212"/>
      <c r="AK13" s="250"/>
      <c r="AL13" s="212"/>
      <c r="AM13" s="252"/>
      <c r="AN13" s="212"/>
      <c r="AO13" s="252"/>
      <c r="AP13" s="212"/>
      <c r="AQ13" s="252"/>
      <c r="AR13" s="212"/>
      <c r="AS13" s="252"/>
      <c r="AT13" s="212"/>
      <c r="AU13" s="252"/>
      <c r="AV13" s="212"/>
      <c r="AW13" s="356"/>
      <c r="AX13" s="356"/>
      <c r="AY13" s="356"/>
      <c r="AZ13" s="356"/>
      <c r="BA13" s="1383"/>
      <c r="BB13" s="253"/>
      <c r="BC13" s="218"/>
      <c r="BD13" s="222"/>
    </row>
    <row r="14" spans="1:57" ht="14.1" thickBot="1">
      <c r="A14" s="1177"/>
      <c r="B14" s="1155"/>
      <c r="C14" s="1088"/>
      <c r="D14" s="1201"/>
      <c r="E14" s="1139"/>
      <c r="F14" s="1139"/>
      <c r="G14" s="1139"/>
      <c r="H14" s="210" t="s">
        <v>30</v>
      </c>
      <c r="I14" s="291" t="s">
        <v>31</v>
      </c>
      <c r="J14" s="257" t="s">
        <v>48</v>
      </c>
      <c r="K14" s="292"/>
      <c r="L14" s="275"/>
      <c r="M14" s="288"/>
      <c r="N14" s="1479"/>
      <c r="O14" s="289"/>
      <c r="P14" s="1481"/>
      <c r="Q14" s="228"/>
      <c r="R14" s="278"/>
      <c r="S14" s="276"/>
      <c r="T14" s="277"/>
      <c r="U14" s="249"/>
      <c r="V14" s="229"/>
      <c r="W14" s="249"/>
      <c r="X14" s="277"/>
      <c r="Y14" s="276"/>
      <c r="Z14" s="277"/>
      <c r="AA14" s="249"/>
      <c r="AB14" s="229"/>
      <c r="AC14" s="249"/>
      <c r="AD14" s="229"/>
      <c r="AE14" s="249"/>
      <c r="AF14" s="229"/>
      <c r="AG14" s="249"/>
      <c r="AH14" s="229"/>
      <c r="AI14" s="249"/>
      <c r="AJ14" s="229"/>
      <c r="AK14" s="249"/>
      <c r="AL14" s="229"/>
      <c r="AM14" s="252"/>
      <c r="AN14" s="229"/>
      <c r="AO14" s="252"/>
      <c r="AP14" s="229"/>
      <c r="AQ14" s="252"/>
      <c r="AR14" s="229"/>
      <c r="AS14" s="252"/>
      <c r="AT14" s="229"/>
      <c r="AU14" s="252"/>
      <c r="AV14" s="229"/>
      <c r="AW14" s="356"/>
      <c r="AX14" s="356"/>
      <c r="AY14" s="356"/>
      <c r="AZ14" s="356"/>
      <c r="BA14" s="1383"/>
      <c r="BB14" s="253"/>
      <c r="BC14" s="218"/>
      <c r="BD14" s="222"/>
    </row>
    <row r="15" spans="1:57">
      <c r="A15" s="1161">
        <v>7</v>
      </c>
      <c r="B15" s="1083" t="s">
        <v>694</v>
      </c>
      <c r="C15" s="1172" t="s">
        <v>49</v>
      </c>
      <c r="D15" s="1200">
        <v>159184</v>
      </c>
      <c r="E15" s="1138" t="s">
        <v>750</v>
      </c>
      <c r="F15" s="1138" t="s">
        <v>21</v>
      </c>
      <c r="G15" s="1138" t="s">
        <v>22</v>
      </c>
      <c r="H15" s="199" t="s">
        <v>23</v>
      </c>
      <c r="I15" s="293" t="s">
        <v>42</v>
      </c>
      <c r="J15" s="201" t="s">
        <v>749</v>
      </c>
      <c r="K15" s="281"/>
      <c r="L15" s="282"/>
      <c r="M15" s="294">
        <f>D15/2</f>
        <v>79592</v>
      </c>
      <c r="N15" s="1477" t="s">
        <v>50</v>
      </c>
      <c r="O15" s="285"/>
      <c r="P15" s="264"/>
      <c r="Q15" s="205"/>
      <c r="R15" s="265"/>
      <c r="S15" s="285"/>
      <c r="T15" s="295"/>
      <c r="U15" s="296"/>
      <c r="V15" s="1262"/>
      <c r="W15" s="297"/>
      <c r="X15" s="1257"/>
      <c r="Y15" s="298">
        <f>D15/2</f>
        <v>79592</v>
      </c>
      <c r="Z15" s="1402" t="s">
        <v>51</v>
      </c>
      <c r="AA15" s="239"/>
      <c r="AB15" s="201"/>
      <c r="AC15" s="239"/>
      <c r="AD15" s="201"/>
      <c r="AE15" s="239"/>
      <c r="AF15" s="201"/>
      <c r="AG15" s="239"/>
      <c r="AH15" s="201"/>
      <c r="AI15" s="239"/>
      <c r="AJ15" s="201"/>
      <c r="AK15" s="239"/>
      <c r="AL15" s="201"/>
      <c r="AM15" s="238"/>
      <c r="AN15" s="201"/>
      <c r="AO15" s="238"/>
      <c r="AP15" s="201"/>
      <c r="AQ15" s="238"/>
      <c r="AR15" s="201"/>
      <c r="AS15" s="238"/>
      <c r="AT15" s="201"/>
      <c r="AU15" s="238"/>
      <c r="AV15" s="201"/>
      <c r="AW15" s="596"/>
      <c r="AX15" s="596"/>
      <c r="AY15" s="596"/>
      <c r="AZ15" s="596"/>
      <c r="BA15" s="1385">
        <f>D15</f>
        <v>159184</v>
      </c>
      <c r="BB15" s="241">
        <f>K15+M15+O15+Q15+S15+U15+W15+Y15+AA15+AC15+AE15+AG15+AI15</f>
        <v>159184</v>
      </c>
      <c r="BC15" s="267">
        <f>M15+O15+Q15+S15+U15+W15+Y15+AA15+AC15+AE15+AG15+AI15+AK15+AM15+AO15+AQ15+AS15+AU15</f>
        <v>159184</v>
      </c>
      <c r="BD15" s="268"/>
    </row>
    <row r="16" spans="1:57" ht="14.1">
      <c r="A16" s="1162"/>
      <c r="B16" s="1084"/>
      <c r="C16" s="1173"/>
      <c r="D16" s="1201"/>
      <c r="E16" s="1139"/>
      <c r="F16" s="1139"/>
      <c r="G16" s="1139"/>
      <c r="H16" s="210" t="s">
        <v>25</v>
      </c>
      <c r="I16" s="299" t="s">
        <v>43</v>
      </c>
      <c r="J16" s="286" t="s">
        <v>44</v>
      </c>
      <c r="K16" s="287"/>
      <c r="L16" s="300"/>
      <c r="M16" s="271"/>
      <c r="N16" s="1381"/>
      <c r="O16" s="276"/>
      <c r="P16" s="272"/>
      <c r="Q16" s="221"/>
      <c r="R16" s="273"/>
      <c r="S16" s="276"/>
      <c r="T16" s="301"/>
      <c r="U16" s="302"/>
      <c r="V16" s="1262"/>
      <c r="W16" s="303"/>
      <c r="X16" s="1258"/>
      <c r="Y16" s="304"/>
      <c r="Z16" s="1381"/>
      <c r="AA16" s="250"/>
      <c r="AB16" s="212"/>
      <c r="AC16" s="250"/>
      <c r="AD16" s="212"/>
      <c r="AE16" s="250"/>
      <c r="AF16" s="212"/>
      <c r="AG16" s="250"/>
      <c r="AH16" s="212"/>
      <c r="AI16" s="250"/>
      <c r="AJ16" s="212"/>
      <c r="AK16" s="250"/>
      <c r="AL16" s="212"/>
      <c r="AM16" s="252"/>
      <c r="AN16" s="212"/>
      <c r="AO16" s="252"/>
      <c r="AP16" s="212"/>
      <c r="AQ16" s="252"/>
      <c r="AR16" s="212"/>
      <c r="AS16" s="252"/>
      <c r="AT16" s="212"/>
      <c r="AU16" s="252"/>
      <c r="AV16" s="212"/>
      <c r="AW16" s="356"/>
      <c r="AX16" s="356"/>
      <c r="AY16" s="356"/>
      <c r="AZ16" s="356"/>
      <c r="BA16" s="1383"/>
      <c r="BB16" s="253"/>
      <c r="BC16" s="218"/>
      <c r="BD16" s="254">
        <f>M16+O16+Q16+S16+U16+W16+Y16+AA16+AC16+AE16+AG16+AI16+AK16+AM16+AO16+AQ16+AS16+AU16</f>
        <v>0</v>
      </c>
      <c r="BE16" s="189" t="s">
        <v>691</v>
      </c>
    </row>
    <row r="17" spans="1:58">
      <c r="A17" s="1162"/>
      <c r="B17" s="1084"/>
      <c r="C17" s="1173"/>
      <c r="D17" s="1201"/>
      <c r="E17" s="1139"/>
      <c r="F17" s="1139"/>
      <c r="G17" s="1139"/>
      <c r="H17" s="210" t="s">
        <v>27</v>
      </c>
      <c r="I17" s="299" t="s">
        <v>28</v>
      </c>
      <c r="J17" s="212" t="s">
        <v>52</v>
      </c>
      <c r="K17" s="287"/>
      <c r="L17" s="270"/>
      <c r="M17" s="271"/>
      <c r="N17" s="1381"/>
      <c r="O17" s="276"/>
      <c r="P17" s="272"/>
      <c r="Q17" s="221"/>
      <c r="R17" s="273"/>
      <c r="S17" s="276"/>
      <c r="T17" s="301"/>
      <c r="U17" s="305"/>
      <c r="V17" s="1262"/>
      <c r="W17" s="303"/>
      <c r="X17" s="1258"/>
      <c r="Y17" s="274"/>
      <c r="Z17" s="1381"/>
      <c r="AA17" s="250"/>
      <c r="AB17" s="212"/>
      <c r="AC17" s="250"/>
      <c r="AD17" s="212"/>
      <c r="AE17" s="250"/>
      <c r="AF17" s="212"/>
      <c r="AG17" s="250"/>
      <c r="AH17" s="212"/>
      <c r="AI17" s="250"/>
      <c r="AJ17" s="212"/>
      <c r="AK17" s="250"/>
      <c r="AL17" s="212"/>
      <c r="AM17" s="252"/>
      <c r="AN17" s="212"/>
      <c r="AO17" s="252"/>
      <c r="AP17" s="212"/>
      <c r="AQ17" s="252"/>
      <c r="AR17" s="212"/>
      <c r="AS17" s="252"/>
      <c r="AT17" s="212"/>
      <c r="AU17" s="252"/>
      <c r="AV17" s="212"/>
      <c r="AW17" s="356"/>
      <c r="AX17" s="356"/>
      <c r="AY17" s="356"/>
      <c r="AZ17" s="356"/>
      <c r="BA17" s="1383"/>
      <c r="BB17" s="253"/>
      <c r="BC17" s="218"/>
      <c r="BD17" s="222"/>
    </row>
    <row r="18" spans="1:58" ht="14.1" thickBot="1">
      <c r="A18" s="1163"/>
      <c r="B18" s="1199"/>
      <c r="C18" s="1174"/>
      <c r="D18" s="1201"/>
      <c r="E18" s="1140"/>
      <c r="F18" s="1140"/>
      <c r="G18" s="1140"/>
      <c r="H18" s="306" t="s">
        <v>30</v>
      </c>
      <c r="I18" s="307" t="s">
        <v>31</v>
      </c>
      <c r="J18" s="308" t="s">
        <v>53</v>
      </c>
      <c r="K18" s="309"/>
      <c r="L18" s="310"/>
      <c r="M18" s="311"/>
      <c r="N18" s="1382"/>
      <c r="O18" s="312"/>
      <c r="P18" s="313"/>
      <c r="Q18" s="314"/>
      <c r="R18" s="315"/>
      <c r="S18" s="312"/>
      <c r="T18" s="316"/>
      <c r="U18" s="305"/>
      <c r="V18" s="1262"/>
      <c r="W18" s="317"/>
      <c r="X18" s="1259"/>
      <c r="Y18" s="318"/>
      <c r="Z18" s="1382"/>
      <c r="AA18" s="319"/>
      <c r="AB18" s="320"/>
      <c r="AC18" s="319"/>
      <c r="AD18" s="320"/>
      <c r="AE18" s="319"/>
      <c r="AF18" s="320"/>
      <c r="AG18" s="319"/>
      <c r="AH18" s="320"/>
      <c r="AI18" s="319"/>
      <c r="AJ18" s="320"/>
      <c r="AK18" s="319"/>
      <c r="AL18" s="320"/>
      <c r="AM18" s="321"/>
      <c r="AN18" s="320"/>
      <c r="AO18" s="321"/>
      <c r="AP18" s="320"/>
      <c r="AQ18" s="321"/>
      <c r="AR18" s="320"/>
      <c r="AS18" s="321"/>
      <c r="AT18" s="320"/>
      <c r="AU18" s="321"/>
      <c r="AV18" s="320"/>
      <c r="AW18" s="746"/>
      <c r="AX18" s="746"/>
      <c r="AY18" s="746"/>
      <c r="AZ18" s="746"/>
      <c r="BA18" s="1384"/>
      <c r="BB18" s="322"/>
      <c r="BC18" s="323"/>
      <c r="BD18" s="324"/>
    </row>
    <row r="19" spans="1:58">
      <c r="A19" s="1177">
        <v>8</v>
      </c>
      <c r="B19" s="1155" t="s">
        <v>695</v>
      </c>
      <c r="C19" s="1088" t="s">
        <v>55</v>
      </c>
      <c r="D19" s="1184">
        <v>2369057</v>
      </c>
      <c r="E19" s="1139" t="s">
        <v>56</v>
      </c>
      <c r="F19" s="1139" t="s">
        <v>21</v>
      </c>
      <c r="G19" s="1139" t="s">
        <v>22</v>
      </c>
      <c r="H19" s="210" t="s">
        <v>23</v>
      </c>
      <c r="I19" s="325" t="s">
        <v>42</v>
      </c>
      <c r="J19" s="326" t="s">
        <v>57</v>
      </c>
      <c r="K19" s="327"/>
      <c r="L19" s="1475"/>
      <c r="M19" s="328">
        <f>D19</f>
        <v>2369057</v>
      </c>
      <c r="N19" s="1381" t="s">
        <v>58</v>
      </c>
      <c r="O19" s="329"/>
      <c r="P19" s="1433"/>
      <c r="Q19" s="330"/>
      <c r="R19" s="1476"/>
      <c r="S19" s="330"/>
      <c r="T19" s="1476"/>
      <c r="U19" s="330"/>
      <c r="V19" s="326"/>
      <c r="W19" s="330"/>
      <c r="X19" s="326"/>
      <c r="Y19" s="330"/>
      <c r="Z19" s="326"/>
      <c r="AA19" s="330"/>
      <c r="AB19" s="326"/>
      <c r="AC19" s="330"/>
      <c r="AD19" s="326"/>
      <c r="AE19" s="330"/>
      <c r="AF19" s="326"/>
      <c r="AG19" s="330"/>
      <c r="AH19" s="326"/>
      <c r="AI19" s="330"/>
      <c r="AJ19" s="326"/>
      <c r="AK19" s="330"/>
      <c r="AL19" s="326"/>
      <c r="AM19" s="217"/>
      <c r="AN19" s="326"/>
      <c r="AO19" s="217"/>
      <c r="AP19" s="326"/>
      <c r="AQ19" s="217"/>
      <c r="AR19" s="326"/>
      <c r="AS19" s="217"/>
      <c r="AT19" s="326"/>
      <c r="AU19" s="217"/>
      <c r="AV19" s="326"/>
      <c r="AW19" s="356"/>
      <c r="AX19" s="356"/>
      <c r="AY19" s="356"/>
      <c r="AZ19" s="356"/>
      <c r="BA19" s="1383">
        <f>D19</f>
        <v>2369057</v>
      </c>
      <c r="BB19" s="253">
        <f>K19+M19+O19+Q19+S19+U19+W19+Y19+AA19+AC19+AE19+AG19+AI19</f>
        <v>2369057</v>
      </c>
      <c r="BC19" s="331">
        <f>M19+O19+Q19+S19+U19+W19+Y19+AA19+AC19+AE19+AG19+AI19+AK19+AM19+AO19+AQ19+AS19+AU19</f>
        <v>2369057</v>
      </c>
      <c r="BD19" s="222"/>
    </row>
    <row r="20" spans="1:58" ht="14.1">
      <c r="A20" s="1177"/>
      <c r="B20" s="1155"/>
      <c r="C20" s="1088"/>
      <c r="D20" s="1185"/>
      <c r="E20" s="1139"/>
      <c r="F20" s="1139"/>
      <c r="G20" s="1139"/>
      <c r="H20" s="210" t="s">
        <v>25</v>
      </c>
      <c r="I20" s="299" t="s">
        <v>43</v>
      </c>
      <c r="J20" s="286"/>
      <c r="K20" s="332"/>
      <c r="L20" s="1473"/>
      <c r="M20" s="333"/>
      <c r="N20" s="1381"/>
      <c r="O20" s="215"/>
      <c r="P20" s="1433"/>
      <c r="Q20" s="215"/>
      <c r="R20" s="1463"/>
      <c r="S20" s="215"/>
      <c r="T20" s="1463"/>
      <c r="U20" s="215"/>
      <c r="V20" s="212"/>
      <c r="W20" s="215"/>
      <c r="X20" s="212"/>
      <c r="Y20" s="215"/>
      <c r="Z20" s="212"/>
      <c r="AA20" s="215"/>
      <c r="AB20" s="212"/>
      <c r="AC20" s="215"/>
      <c r="AD20" s="212"/>
      <c r="AE20" s="215"/>
      <c r="AF20" s="212"/>
      <c r="AG20" s="215"/>
      <c r="AH20" s="212"/>
      <c r="AI20" s="215"/>
      <c r="AJ20" s="212"/>
      <c r="AK20" s="215"/>
      <c r="AL20" s="212"/>
      <c r="AM20" s="217"/>
      <c r="AN20" s="212"/>
      <c r="AO20" s="217"/>
      <c r="AP20" s="212"/>
      <c r="AQ20" s="217"/>
      <c r="AR20" s="212"/>
      <c r="AS20" s="217"/>
      <c r="AT20" s="212"/>
      <c r="AU20" s="217"/>
      <c r="AV20" s="212"/>
      <c r="AW20" s="356"/>
      <c r="AX20" s="356"/>
      <c r="AY20" s="356"/>
      <c r="AZ20" s="356"/>
      <c r="BA20" s="1383"/>
      <c r="BB20" s="253"/>
      <c r="BC20" s="218"/>
      <c r="BD20" s="220">
        <f>M20+O20+Q20+S20+U20+W20+Y20+AA20+AC20+AE20+AG20+AI20+AK20+AM20+AO20+AQ20+AS20+AU20</f>
        <v>0</v>
      </c>
    </row>
    <row r="21" spans="1:58">
      <c r="A21" s="1177"/>
      <c r="B21" s="1155"/>
      <c r="C21" s="1088"/>
      <c r="D21" s="1185"/>
      <c r="E21" s="1139"/>
      <c r="F21" s="1139"/>
      <c r="G21" s="1139"/>
      <c r="H21" s="210" t="s">
        <v>27</v>
      </c>
      <c r="I21" s="299" t="s">
        <v>28</v>
      </c>
      <c r="J21" s="212" t="s">
        <v>59</v>
      </c>
      <c r="K21" s="332"/>
      <c r="L21" s="1473"/>
      <c r="M21" s="333"/>
      <c r="N21" s="1381"/>
      <c r="O21" s="215"/>
      <c r="P21" s="1433"/>
      <c r="Q21" s="215"/>
      <c r="R21" s="1463"/>
      <c r="S21" s="215"/>
      <c r="T21" s="1463"/>
      <c r="U21" s="215"/>
      <c r="V21" s="212"/>
      <c r="W21" s="215"/>
      <c r="X21" s="212"/>
      <c r="Y21" s="215"/>
      <c r="Z21" s="212"/>
      <c r="AA21" s="215"/>
      <c r="AB21" s="212"/>
      <c r="AC21" s="215"/>
      <c r="AD21" s="212"/>
      <c r="AE21" s="215"/>
      <c r="AF21" s="212"/>
      <c r="AG21" s="215"/>
      <c r="AH21" s="212"/>
      <c r="AI21" s="215"/>
      <c r="AJ21" s="212"/>
      <c r="AK21" s="215"/>
      <c r="AL21" s="212"/>
      <c r="AM21" s="217"/>
      <c r="AN21" s="212"/>
      <c r="AO21" s="217"/>
      <c r="AP21" s="212"/>
      <c r="AQ21" s="217"/>
      <c r="AR21" s="212"/>
      <c r="AS21" s="217"/>
      <c r="AT21" s="212"/>
      <c r="AU21" s="217"/>
      <c r="AV21" s="212"/>
      <c r="AW21" s="356"/>
      <c r="AX21" s="356"/>
      <c r="AY21" s="356"/>
      <c r="AZ21" s="356"/>
      <c r="BA21" s="1383"/>
      <c r="BB21" s="253"/>
      <c r="BC21" s="218"/>
      <c r="BD21" s="222"/>
    </row>
    <row r="22" spans="1:58" ht="14.7" thickBot="1">
      <c r="A22" s="1177"/>
      <c r="B22" s="1155"/>
      <c r="C22" s="1088"/>
      <c r="D22" s="1186"/>
      <c r="E22" s="1139"/>
      <c r="F22" s="1139"/>
      <c r="G22" s="1139"/>
      <c r="H22" s="210" t="s">
        <v>30</v>
      </c>
      <c r="I22" s="291" t="s">
        <v>31</v>
      </c>
      <c r="J22" t="s">
        <v>60</v>
      </c>
      <c r="K22" s="334"/>
      <c r="L22" s="1474"/>
      <c r="M22" s="335"/>
      <c r="N22" s="1381"/>
      <c r="O22" s="227"/>
      <c r="P22" s="1433"/>
      <c r="Q22" s="227"/>
      <c r="R22" s="1469"/>
      <c r="S22" s="227"/>
      <c r="T22" s="1469"/>
      <c r="U22" s="227"/>
      <c r="V22" s="229"/>
      <c r="W22" s="227"/>
      <c r="X22" s="229"/>
      <c r="Y22" s="227"/>
      <c r="Z22" s="229"/>
      <c r="AA22" s="227"/>
      <c r="AB22" s="229"/>
      <c r="AC22" s="227"/>
      <c r="AD22" s="229"/>
      <c r="AE22" s="227"/>
      <c r="AF22" s="229"/>
      <c r="AG22" s="227"/>
      <c r="AH22" s="229"/>
      <c r="AI22" s="227"/>
      <c r="AJ22" s="229"/>
      <c r="AK22" s="227"/>
      <c r="AL22" s="229"/>
      <c r="AM22" s="217"/>
      <c r="AN22" s="229"/>
      <c r="AO22" s="217"/>
      <c r="AP22" s="229"/>
      <c r="AQ22" s="217"/>
      <c r="AR22" s="229"/>
      <c r="AS22" s="217"/>
      <c r="AT22" s="229"/>
      <c r="AU22" s="217"/>
      <c r="AV22" s="229"/>
      <c r="AW22" s="356"/>
      <c r="AX22" s="356"/>
      <c r="AY22" s="356"/>
      <c r="AZ22" s="356"/>
      <c r="BA22" s="1383"/>
      <c r="BB22" s="253"/>
      <c r="BC22" s="218"/>
      <c r="BD22" s="222"/>
    </row>
    <row r="23" spans="1:58">
      <c r="A23" s="1158">
        <v>9</v>
      </c>
      <c r="B23" s="1154" t="s">
        <v>696</v>
      </c>
      <c r="C23" s="1087" t="s">
        <v>62</v>
      </c>
      <c r="D23" s="1105">
        <f>113337+178615</f>
        <v>291952</v>
      </c>
      <c r="E23" s="1471" t="s">
        <v>63</v>
      </c>
      <c r="F23" s="1141" t="s">
        <v>21</v>
      </c>
      <c r="G23" s="1138" t="s">
        <v>22</v>
      </c>
      <c r="H23" s="199" t="s">
        <v>23</v>
      </c>
      <c r="I23" s="200" t="s">
        <v>24</v>
      </c>
      <c r="J23" s="336" t="s">
        <v>64</v>
      </c>
      <c r="K23" s="337"/>
      <c r="L23" s="1472"/>
      <c r="M23" s="338">
        <f>D23</f>
        <v>291952</v>
      </c>
      <c r="N23" s="1402" t="s">
        <v>65</v>
      </c>
      <c r="O23" s="204"/>
      <c r="P23" s="1462"/>
      <c r="Q23" s="204"/>
      <c r="R23" s="1470"/>
      <c r="S23" s="339"/>
      <c r="T23" s="1462"/>
      <c r="U23" s="204"/>
      <c r="V23" s="201"/>
      <c r="W23" s="340"/>
      <c r="X23" s="1358"/>
      <c r="Y23" s="204"/>
      <c r="Z23" s="201"/>
      <c r="AA23" s="204"/>
      <c r="AB23" s="201"/>
      <c r="AC23" s="341"/>
      <c r="AD23" s="1358"/>
      <c r="AE23" s="204"/>
      <c r="AF23" s="201"/>
      <c r="AG23" s="204"/>
      <c r="AH23" s="201"/>
      <c r="AI23" s="341"/>
      <c r="AJ23" s="1358"/>
      <c r="AK23" s="204"/>
      <c r="AL23" s="201"/>
      <c r="AM23" s="206"/>
      <c r="AN23" s="201"/>
      <c r="AO23" s="206"/>
      <c r="AP23" s="201"/>
      <c r="AQ23" s="206"/>
      <c r="AR23" s="201"/>
      <c r="AS23" s="206"/>
      <c r="AT23" s="201"/>
      <c r="AU23" s="206"/>
      <c r="AV23" s="201"/>
      <c r="AW23" s="596"/>
      <c r="AX23" s="596"/>
      <c r="AY23" s="596"/>
      <c r="AZ23" s="596"/>
      <c r="BA23" s="1385">
        <f>D23</f>
        <v>291952</v>
      </c>
      <c r="BB23" s="241">
        <f>K23+M23+O23+Q23+S23+U23+W23+Y23+AA23+AC23+AE23+AG23+AI23</f>
        <v>291952</v>
      </c>
      <c r="BC23" s="267">
        <f>M23+O23+Q23+S23+U23+W23+Y23+AA23+AC23+AE23+AG23+AI23+AK23+AM23+AO23+AQ23+AS23+AU23</f>
        <v>291952</v>
      </c>
      <c r="BD23" s="268"/>
    </row>
    <row r="24" spans="1:58" ht="14.1">
      <c r="A24" s="1159"/>
      <c r="B24" s="1155"/>
      <c r="C24" s="1088"/>
      <c r="D24" s="1106"/>
      <c r="E24" s="1134"/>
      <c r="F24" s="1142"/>
      <c r="G24" s="1139"/>
      <c r="H24" s="210" t="s">
        <v>25</v>
      </c>
      <c r="I24" s="211" t="s">
        <v>26</v>
      </c>
      <c r="J24" s="212"/>
      <c r="K24" s="342"/>
      <c r="L24" s="1473"/>
      <c r="M24" s="274"/>
      <c r="N24" s="1381"/>
      <c r="O24" s="215"/>
      <c r="P24" s="1463"/>
      <c r="Q24" s="215"/>
      <c r="R24" s="1463"/>
      <c r="S24" s="343"/>
      <c r="T24" s="1463"/>
      <c r="U24" s="215"/>
      <c r="V24" s="212"/>
      <c r="W24" s="215"/>
      <c r="X24" s="1359"/>
      <c r="Y24" s="215"/>
      <c r="Z24" s="212"/>
      <c r="AA24" s="215"/>
      <c r="AB24" s="212"/>
      <c r="AC24" s="215"/>
      <c r="AD24" s="1359"/>
      <c r="AE24" s="215"/>
      <c r="AF24" s="212"/>
      <c r="AG24" s="215"/>
      <c r="AH24" s="212"/>
      <c r="AI24" s="215"/>
      <c r="AJ24" s="1359"/>
      <c r="AK24" s="215"/>
      <c r="AL24" s="212"/>
      <c r="AM24" s="217"/>
      <c r="AN24" s="212"/>
      <c r="AO24" s="217"/>
      <c r="AP24" s="212"/>
      <c r="AQ24" s="217"/>
      <c r="AR24" s="212"/>
      <c r="AS24" s="217"/>
      <c r="AT24" s="212"/>
      <c r="AU24" s="217"/>
      <c r="AV24" s="212"/>
      <c r="AW24" s="356"/>
      <c r="AX24" s="356"/>
      <c r="AY24" s="356"/>
      <c r="AZ24" s="356"/>
      <c r="BA24" s="1383"/>
      <c r="BB24" s="253"/>
      <c r="BC24" s="218"/>
      <c r="BD24" s="220">
        <f>M24+O24+Q24+S24+U24+W24+Y24+AA24+AC24+AE24+AG24+AI24+AK24+AM24+AO24+AQ24+AS24+AU24</f>
        <v>0</v>
      </c>
    </row>
    <row r="25" spans="1:58">
      <c r="A25" s="1159"/>
      <c r="B25" s="1155"/>
      <c r="C25" s="1088"/>
      <c r="D25" s="1106"/>
      <c r="E25" s="1134"/>
      <c r="F25" s="1142"/>
      <c r="G25" s="1139"/>
      <c r="H25" s="210" t="s">
        <v>27</v>
      </c>
      <c r="I25" s="211" t="s">
        <v>66</v>
      </c>
      <c r="J25" s="212" t="s">
        <v>67</v>
      </c>
      <c r="K25" s="342"/>
      <c r="L25" s="1473"/>
      <c r="M25" s="274"/>
      <c r="N25" s="1381"/>
      <c r="O25" s="215"/>
      <c r="P25" s="1463"/>
      <c r="Q25" s="215"/>
      <c r="R25" s="1463"/>
      <c r="S25" s="343"/>
      <c r="T25" s="1463"/>
      <c r="U25" s="215"/>
      <c r="V25" s="212"/>
      <c r="W25" s="215"/>
      <c r="X25" s="1359"/>
      <c r="Y25" s="215"/>
      <c r="Z25" s="212"/>
      <c r="AA25" s="215"/>
      <c r="AB25" s="212"/>
      <c r="AC25" s="215"/>
      <c r="AD25" s="1359"/>
      <c r="AE25" s="215"/>
      <c r="AF25" s="212"/>
      <c r="AG25" s="215"/>
      <c r="AH25" s="212"/>
      <c r="AI25" s="215"/>
      <c r="AJ25" s="1359"/>
      <c r="AK25" s="215"/>
      <c r="AL25" s="212"/>
      <c r="AM25" s="217"/>
      <c r="AN25" s="212"/>
      <c r="AO25" s="217"/>
      <c r="AP25" s="212"/>
      <c r="AQ25" s="217"/>
      <c r="AR25" s="212"/>
      <c r="AS25" s="217"/>
      <c r="AT25" s="212"/>
      <c r="AU25" s="217"/>
      <c r="AV25" s="212"/>
      <c r="AW25" s="356"/>
      <c r="AX25" s="356"/>
      <c r="AY25" s="356"/>
      <c r="AZ25" s="356"/>
      <c r="BA25" s="1383"/>
      <c r="BB25" s="253"/>
      <c r="BC25" s="218"/>
      <c r="BD25" s="222"/>
    </row>
    <row r="26" spans="1:58" ht="14.1" thickBot="1">
      <c r="A26" s="1159"/>
      <c r="B26" s="1155"/>
      <c r="C26" s="1088"/>
      <c r="D26" s="1107"/>
      <c r="E26" s="1203"/>
      <c r="F26" s="1142"/>
      <c r="G26" s="1139"/>
      <c r="H26" s="210" t="s">
        <v>30</v>
      </c>
      <c r="I26" s="223" t="s">
        <v>68</v>
      </c>
      <c r="J26" s="224" t="s">
        <v>32</v>
      </c>
      <c r="K26" s="342"/>
      <c r="L26" s="1474"/>
      <c r="M26" s="274"/>
      <c r="N26" s="1381"/>
      <c r="O26" s="227"/>
      <c r="P26" s="1469"/>
      <c r="Q26" s="227"/>
      <c r="R26" s="1469"/>
      <c r="S26" s="343"/>
      <c r="T26" s="1469"/>
      <c r="U26" s="227"/>
      <c r="V26" s="229"/>
      <c r="W26" s="227"/>
      <c r="X26" s="1359"/>
      <c r="Y26" s="227"/>
      <c r="Z26" s="229"/>
      <c r="AA26" s="227"/>
      <c r="AB26" s="229"/>
      <c r="AC26" s="227"/>
      <c r="AD26" s="1359"/>
      <c r="AE26" s="227"/>
      <c r="AF26" s="229"/>
      <c r="AG26" s="227"/>
      <c r="AH26" s="229"/>
      <c r="AI26" s="227"/>
      <c r="AJ26" s="1359"/>
      <c r="AK26" s="227"/>
      <c r="AL26" s="229"/>
      <c r="AM26" s="217"/>
      <c r="AN26" s="229"/>
      <c r="AO26" s="217"/>
      <c r="AP26" s="229"/>
      <c r="AQ26" s="217"/>
      <c r="AR26" s="229"/>
      <c r="AS26" s="217"/>
      <c r="AT26" s="229"/>
      <c r="AU26" s="217"/>
      <c r="AV26" s="229"/>
      <c r="AW26" s="356"/>
      <c r="AX26" s="356"/>
      <c r="AY26" s="356"/>
      <c r="AZ26" s="356"/>
      <c r="BA26" s="1383"/>
      <c r="BB26" s="253"/>
      <c r="BC26" s="218"/>
      <c r="BD26" s="222"/>
    </row>
    <row r="27" spans="1:58">
      <c r="A27" s="1158">
        <v>10</v>
      </c>
      <c r="B27" s="1164" t="s">
        <v>69</v>
      </c>
      <c r="C27" s="1085" t="s">
        <v>49</v>
      </c>
      <c r="D27" s="1254">
        <v>1311233</v>
      </c>
      <c r="E27" s="1133" t="s">
        <v>70</v>
      </c>
      <c r="F27" s="1138" t="s">
        <v>21</v>
      </c>
      <c r="G27" s="1138" t="s">
        <v>22</v>
      </c>
      <c r="H27" s="199" t="s">
        <v>23</v>
      </c>
      <c r="I27" s="200" t="s">
        <v>26</v>
      </c>
      <c r="J27" s="201" t="s">
        <v>71</v>
      </c>
      <c r="K27" s="344"/>
      <c r="L27" s="1466"/>
      <c r="M27" s="204"/>
      <c r="N27" s="1462"/>
      <c r="O27" s="345">
        <f>D27</f>
        <v>1311233</v>
      </c>
      <c r="P27" s="1402" t="s">
        <v>72</v>
      </c>
      <c r="Q27" s="204"/>
      <c r="R27" s="1462"/>
      <c r="S27" s="204"/>
      <c r="T27" s="1462"/>
      <c r="U27" s="201"/>
      <c r="V27" s="201"/>
      <c r="W27" s="201"/>
      <c r="X27" s="201"/>
      <c r="Y27" s="201"/>
      <c r="Z27" s="1289"/>
      <c r="AA27" s="201"/>
      <c r="AB27" s="346"/>
      <c r="AC27" s="201"/>
      <c r="AD27" s="201"/>
      <c r="AE27" s="201"/>
      <c r="AF27" s="201"/>
      <c r="AG27" s="201"/>
      <c r="AH27" s="201"/>
      <c r="AI27" s="201"/>
      <c r="AJ27" s="201"/>
      <c r="AK27" s="201"/>
      <c r="AL27" s="201"/>
      <c r="AM27" s="201"/>
      <c r="AN27" s="201"/>
      <c r="AO27" s="201"/>
      <c r="AP27" s="201"/>
      <c r="AQ27" s="201"/>
      <c r="AR27" s="201"/>
      <c r="AS27" s="201"/>
      <c r="AT27" s="201"/>
      <c r="AU27" s="201"/>
      <c r="AV27" s="201"/>
      <c r="AW27" s="596"/>
      <c r="AX27" s="596"/>
      <c r="AY27" s="596"/>
      <c r="AZ27" s="596"/>
      <c r="BA27" s="1385">
        <f>D27</f>
        <v>1311233</v>
      </c>
      <c r="BB27" s="241">
        <f>K27+M27+O27+Q27+S27+U27+W27+Y27+AA27+AC27+AE27+AG27+AI27</f>
        <v>1311233</v>
      </c>
      <c r="BC27" s="267">
        <f>M27+O27+Q27+S27+U27+W27+Y27+AA27+AC27+AE27+AG27+AI27+AK27+AM27+AO27+AQ27+AS27+AU27</f>
        <v>1311233</v>
      </c>
      <c r="BD27" s="268"/>
    </row>
    <row r="28" spans="1:58" ht="14.1">
      <c r="A28" s="1159"/>
      <c r="B28" s="1165"/>
      <c r="C28" s="1086"/>
      <c r="D28" s="1255"/>
      <c r="E28" s="1134"/>
      <c r="F28" s="1139"/>
      <c r="G28" s="1139"/>
      <c r="H28" s="210" t="s">
        <v>25</v>
      </c>
      <c r="I28" s="211" t="s">
        <v>28</v>
      </c>
      <c r="J28" s="212"/>
      <c r="K28" s="332"/>
      <c r="L28" s="1467"/>
      <c r="M28" s="215"/>
      <c r="N28" s="1463"/>
      <c r="O28" s="333"/>
      <c r="P28" s="1381"/>
      <c r="Q28" s="215"/>
      <c r="R28" s="1463"/>
      <c r="S28" s="215"/>
      <c r="T28" s="1463"/>
      <c r="U28" s="212"/>
      <c r="V28" s="212"/>
      <c r="W28" s="212"/>
      <c r="X28" s="212"/>
      <c r="Y28" s="212"/>
      <c r="Z28" s="1314"/>
      <c r="AA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356"/>
      <c r="AX28" s="356"/>
      <c r="AY28" s="356"/>
      <c r="AZ28" s="356"/>
      <c r="BA28" s="1383"/>
      <c r="BB28" s="253"/>
      <c r="BC28" s="218"/>
      <c r="BD28" s="220">
        <f>M28+O28+Q28+S28+U28+W28+Y28+AA28+AC28+AE28+AG28+AI28+AK28+AM28+AO28+AQ28+AS28+AU28</f>
        <v>0</v>
      </c>
    </row>
    <row r="29" spans="1:58">
      <c r="A29" s="1159"/>
      <c r="B29" s="1165"/>
      <c r="C29" s="1086"/>
      <c r="D29" s="1255"/>
      <c r="E29" s="1134"/>
      <c r="F29" s="1139"/>
      <c r="G29" s="1139"/>
      <c r="H29" s="210" t="s">
        <v>27</v>
      </c>
      <c r="I29" s="211" t="s">
        <v>31</v>
      </c>
      <c r="J29" s="212" t="s">
        <v>39</v>
      </c>
      <c r="K29" s="332"/>
      <c r="L29" s="1467"/>
      <c r="M29" s="215"/>
      <c r="N29" s="1463"/>
      <c r="O29" s="333"/>
      <c r="P29" s="1381"/>
      <c r="Q29" s="215"/>
      <c r="R29" s="1463"/>
      <c r="S29" s="215"/>
      <c r="T29" s="1463"/>
      <c r="U29" s="212"/>
      <c r="V29" s="212"/>
      <c r="W29" s="212"/>
      <c r="X29" s="212"/>
      <c r="Y29" s="212"/>
      <c r="Z29" s="1314"/>
      <c r="AA29" s="212"/>
      <c r="AC29" s="212"/>
      <c r="AD29" s="212"/>
      <c r="AE29" s="212"/>
      <c r="AF29" s="212"/>
      <c r="AG29" s="212"/>
      <c r="AH29" s="212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356"/>
      <c r="AX29" s="356"/>
      <c r="AY29" s="356"/>
      <c r="AZ29" s="356"/>
      <c r="BA29" s="1383"/>
      <c r="BB29" s="253"/>
      <c r="BC29" s="218"/>
      <c r="BD29" s="222"/>
    </row>
    <row r="30" spans="1:58" ht="14.1" thickBot="1">
      <c r="A30" s="1160"/>
      <c r="B30" s="1166"/>
      <c r="C30" s="1253"/>
      <c r="D30" s="1256"/>
      <c r="E30" s="1135"/>
      <c r="F30" s="1140"/>
      <c r="G30" s="1140"/>
      <c r="H30" s="306" t="s">
        <v>30</v>
      </c>
      <c r="I30" s="347" t="s">
        <v>73</v>
      </c>
      <c r="J30" s="348" t="s">
        <v>32</v>
      </c>
      <c r="K30" s="349"/>
      <c r="L30" s="1468"/>
      <c r="M30" s="350"/>
      <c r="N30" s="1464"/>
      <c r="O30" s="351"/>
      <c r="P30" s="1382"/>
      <c r="Q30" s="350"/>
      <c r="R30" s="1464"/>
      <c r="S30" s="350"/>
      <c r="T30" s="1464"/>
      <c r="U30" s="320"/>
      <c r="V30" s="320"/>
      <c r="W30" s="320"/>
      <c r="X30" s="320"/>
      <c r="Y30" s="320"/>
      <c r="Z30" s="1465"/>
      <c r="AA30" s="320"/>
      <c r="AB30" s="352"/>
      <c r="AC30" s="320"/>
      <c r="AD30" s="320"/>
      <c r="AE30" s="320"/>
      <c r="AF30" s="320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746"/>
      <c r="AX30" s="746"/>
      <c r="AY30" s="746"/>
      <c r="AZ30" s="746"/>
      <c r="BA30" s="1384"/>
      <c r="BB30" s="322"/>
      <c r="BC30" s="323"/>
      <c r="BD30" s="324"/>
    </row>
    <row r="31" spans="1:58" ht="14.1">
      <c r="A31" s="1067">
        <v>11</v>
      </c>
      <c r="B31" s="1165" t="s">
        <v>74</v>
      </c>
      <c r="C31" s="1086" t="s">
        <v>20</v>
      </c>
      <c r="D31" s="1118">
        <v>367438.05000000005</v>
      </c>
      <c r="E31" s="1137" t="s">
        <v>75</v>
      </c>
      <c r="F31" s="1122" t="s">
        <v>76</v>
      </c>
      <c r="G31" s="1122" t="s">
        <v>22</v>
      </c>
      <c r="H31" s="210" t="s">
        <v>23</v>
      </c>
      <c r="I31" s="353" t="s">
        <v>42</v>
      </c>
      <c r="J31" s="326" t="s">
        <v>77</v>
      </c>
      <c r="K31" s="189"/>
      <c r="L31" s="1289"/>
      <c r="M31" s="354"/>
      <c r="N31" s="1456"/>
      <c r="O31" s="355"/>
      <c r="P31" s="1458"/>
      <c r="Q31" s="356"/>
      <c r="R31" s="1460"/>
      <c r="S31" s="290">
        <v>122479.35</v>
      </c>
      <c r="T31" s="1400" t="s">
        <v>78</v>
      </c>
      <c r="U31" s="290">
        <v>120029.86</v>
      </c>
      <c r="V31" s="1452" t="s">
        <v>79</v>
      </c>
      <c r="W31" s="290">
        <v>114806.78</v>
      </c>
      <c r="X31" s="1402" t="s">
        <v>80</v>
      </c>
      <c r="Y31" s="330"/>
      <c r="Z31" s="326"/>
      <c r="AA31" s="357"/>
      <c r="AB31" s="1215"/>
      <c r="AC31" s="358"/>
      <c r="AD31" s="1446"/>
      <c r="AE31" s="358"/>
      <c r="AF31" s="1446"/>
      <c r="AG31" s="358"/>
      <c r="AH31" s="1446"/>
      <c r="AI31" s="358"/>
      <c r="AJ31" s="1446"/>
      <c r="AK31" s="358"/>
      <c r="AL31" s="1446"/>
      <c r="AM31" s="358"/>
      <c r="AN31" s="1446"/>
      <c r="AO31" s="358"/>
      <c r="AP31" s="1446"/>
      <c r="AQ31" s="358"/>
      <c r="AR31" s="1446"/>
      <c r="AS31" s="358"/>
      <c r="AT31" s="1446"/>
      <c r="AU31" s="358"/>
      <c r="AV31" s="1446"/>
      <c r="AW31" s="740"/>
      <c r="AX31" s="740"/>
      <c r="AY31" s="740"/>
      <c r="AZ31" s="740"/>
      <c r="BA31" s="1383">
        <f>D31</f>
        <v>367438.05000000005</v>
      </c>
      <c r="BB31" s="253">
        <f>K31+M31+O31+Q31+S31+U31+W31+Y31+AA31+AC31+AE31+AG31+AI31</f>
        <v>357315.99</v>
      </c>
      <c r="BC31" s="267">
        <f>M31+O31+Q31+S31+U31+W31+Y31+AA31+AC31+AE31+AG31+AI31+AK31+AM31+AO31+AQ31+AS31+AU31</f>
        <v>357315.99</v>
      </c>
      <c r="BD31" s="359"/>
      <c r="BF31" s="360"/>
    </row>
    <row r="32" spans="1:58" ht="14.1">
      <c r="A32" s="1067"/>
      <c r="B32" s="1165"/>
      <c r="C32" s="1086"/>
      <c r="D32" s="1119"/>
      <c r="E32" s="1276"/>
      <c r="F32" s="1122"/>
      <c r="G32" s="1122"/>
      <c r="H32" s="210" t="s">
        <v>25</v>
      </c>
      <c r="I32" s="353" t="s">
        <v>81</v>
      </c>
      <c r="J32" s="212" t="s">
        <v>82</v>
      </c>
      <c r="K32" s="215"/>
      <c r="L32" s="1215"/>
      <c r="M32" s="361"/>
      <c r="N32" s="1457"/>
      <c r="O32" s="362"/>
      <c r="P32" s="1459"/>
      <c r="Q32" s="356"/>
      <c r="R32" s="1461"/>
      <c r="S32" s="333"/>
      <c r="T32" s="1400"/>
      <c r="U32" s="333"/>
      <c r="V32" s="1453"/>
      <c r="W32" s="363"/>
      <c r="X32" s="1381"/>
      <c r="Y32" s="215"/>
      <c r="Z32" s="212"/>
      <c r="AA32" s="357"/>
      <c r="AB32" s="1215"/>
      <c r="AC32" s="358"/>
      <c r="AD32" s="1446"/>
      <c r="AE32" s="358"/>
      <c r="AF32" s="1446"/>
      <c r="AG32" s="358"/>
      <c r="AH32" s="1446"/>
      <c r="AI32" s="358"/>
      <c r="AJ32" s="1446"/>
      <c r="AK32" s="358"/>
      <c r="AL32" s="1446"/>
      <c r="AM32" s="358"/>
      <c r="AN32" s="1446"/>
      <c r="AO32" s="358"/>
      <c r="AP32" s="1446"/>
      <c r="AQ32" s="358"/>
      <c r="AR32" s="1446"/>
      <c r="AS32" s="358"/>
      <c r="AT32" s="1446"/>
      <c r="AU32" s="358"/>
      <c r="AV32" s="1446"/>
      <c r="AW32" s="740"/>
      <c r="AX32" s="740"/>
      <c r="AY32" s="740"/>
      <c r="AZ32" s="740"/>
      <c r="BA32" s="1383"/>
      <c r="BB32" s="253"/>
      <c r="BC32" s="218"/>
      <c r="BD32" s="364">
        <f>M32+O32+Q32+S32+U32+W32+Y32+AA32+AC32+AE32+AG32+AI32+AK32+AM32+AO32+AQ32+AS32+AU32</f>
        <v>0</v>
      </c>
      <c r="BF32" s="360"/>
    </row>
    <row r="33" spans="1:90" ht="14.1">
      <c r="A33" s="1067"/>
      <c r="B33" s="1165"/>
      <c r="C33" s="1086"/>
      <c r="D33" s="1119"/>
      <c r="E33" s="1276"/>
      <c r="F33" s="1122"/>
      <c r="G33" s="1122"/>
      <c r="H33" s="210"/>
      <c r="I33" s="210"/>
      <c r="J33" s="212" t="s">
        <v>83</v>
      </c>
      <c r="K33" s="215"/>
      <c r="L33" s="1215"/>
      <c r="M33" s="361"/>
      <c r="N33" s="1457"/>
      <c r="O33" s="362"/>
      <c r="P33" s="1459"/>
      <c r="Q33" s="356"/>
      <c r="R33" s="1461"/>
      <c r="S33" s="333"/>
      <c r="T33" s="1400"/>
      <c r="U33" s="333"/>
      <c r="V33" s="1453"/>
      <c r="W33" s="363"/>
      <c r="X33" s="1381"/>
      <c r="Y33" s="215"/>
      <c r="Z33" s="212"/>
      <c r="AA33" s="357"/>
      <c r="AB33" s="1215"/>
      <c r="AC33" s="358"/>
      <c r="AD33" s="1446"/>
      <c r="AE33" s="358"/>
      <c r="AF33" s="1446"/>
      <c r="AG33" s="358"/>
      <c r="AH33" s="1446"/>
      <c r="AI33" s="358"/>
      <c r="AJ33" s="1446"/>
      <c r="AK33" s="358"/>
      <c r="AL33" s="1446"/>
      <c r="AM33" s="358"/>
      <c r="AN33" s="1446"/>
      <c r="AO33" s="358"/>
      <c r="AP33" s="1446"/>
      <c r="AQ33" s="358"/>
      <c r="AR33" s="1446"/>
      <c r="AS33" s="358"/>
      <c r="AT33" s="1446"/>
      <c r="AU33" s="358"/>
      <c r="AV33" s="1446"/>
      <c r="AW33" s="740"/>
      <c r="AX33" s="740"/>
      <c r="AY33" s="740"/>
      <c r="AZ33" s="740"/>
      <c r="BA33" s="1383"/>
      <c r="BB33" s="253"/>
      <c r="BC33" s="218"/>
      <c r="BD33" s="359"/>
    </row>
    <row r="34" spans="1:90" ht="14.4" thickBot="1">
      <c r="A34" s="1175"/>
      <c r="B34" s="1167"/>
      <c r="C34" s="1182"/>
      <c r="D34" s="1120"/>
      <c r="E34" s="1214"/>
      <c r="F34" s="1123"/>
      <c r="G34" s="1137"/>
      <c r="H34" s="210"/>
      <c r="I34" s="210"/>
      <c r="J34" s="224" t="s">
        <v>84</v>
      </c>
      <c r="K34" s="215"/>
      <c r="L34" s="1455"/>
      <c r="M34" s="361"/>
      <c r="N34" s="1457"/>
      <c r="O34" s="362"/>
      <c r="P34" s="1459"/>
      <c r="Q34" s="366"/>
      <c r="R34" s="1461"/>
      <c r="S34" s="333"/>
      <c r="T34" s="1451"/>
      <c r="U34" s="333"/>
      <c r="V34" s="1454"/>
      <c r="W34" s="363"/>
      <c r="X34" s="1382"/>
      <c r="Y34" s="227"/>
      <c r="Z34" s="229"/>
      <c r="AA34" s="357"/>
      <c r="AB34" s="1215"/>
      <c r="AC34" s="358"/>
      <c r="AD34" s="1446"/>
      <c r="AE34" s="358"/>
      <c r="AF34" s="1446"/>
      <c r="AG34" s="358"/>
      <c r="AH34" s="1446"/>
      <c r="AI34" s="358"/>
      <c r="AJ34" s="1446"/>
      <c r="AK34" s="358"/>
      <c r="AL34" s="1446"/>
      <c r="AM34" s="367"/>
      <c r="AN34" s="1447"/>
      <c r="AO34" s="368"/>
      <c r="AP34" s="1447"/>
      <c r="AQ34" s="367"/>
      <c r="AR34" s="1447"/>
      <c r="AS34" s="367"/>
      <c r="AT34" s="1447"/>
      <c r="AU34" s="367"/>
      <c r="AV34" s="1447"/>
      <c r="AW34" s="740"/>
      <c r="AX34" s="740"/>
      <c r="AY34" s="740"/>
      <c r="AZ34" s="740"/>
      <c r="BA34" s="1445"/>
      <c r="BB34" s="369"/>
      <c r="BC34" s="370"/>
      <c r="BD34" s="359"/>
    </row>
    <row r="35" spans="1:90" ht="14.1">
      <c r="A35" s="1176">
        <v>12</v>
      </c>
      <c r="B35" s="1448" t="s">
        <v>85</v>
      </c>
      <c r="C35" s="1449" t="s">
        <v>86</v>
      </c>
      <c r="D35" s="1212">
        <v>519711</v>
      </c>
      <c r="E35" s="728" t="s">
        <v>707</v>
      </c>
      <c r="F35" s="1121" t="s">
        <v>76</v>
      </c>
      <c r="G35" s="1121" t="s">
        <v>87</v>
      </c>
      <c r="H35" s="373"/>
      <c r="I35" s="372"/>
      <c r="J35" s="374" t="s">
        <v>88</v>
      </c>
      <c r="K35" s="375">
        <f>D35/2</f>
        <v>259855.5</v>
      </c>
      <c r="L35" s="1400" t="s">
        <v>89</v>
      </c>
      <c r="M35" s="326"/>
      <c r="N35" s="326"/>
      <c r="O35" s="376"/>
      <c r="P35" s="1124"/>
      <c r="Q35" s="377"/>
      <c r="R35" s="1441"/>
      <c r="U35" s="378">
        <f>K35</f>
        <v>259855.5</v>
      </c>
      <c r="V35" s="1402" t="s">
        <v>90</v>
      </c>
      <c r="W35" s="374"/>
      <c r="X35" s="374"/>
      <c r="Z35" s="1059" t="s">
        <v>91</v>
      </c>
      <c r="AA35" s="380"/>
      <c r="AB35" s="1443"/>
      <c r="AC35" s="381"/>
      <c r="AD35" s="382"/>
      <c r="AE35" s="374"/>
      <c r="AF35" s="382"/>
      <c r="AG35" s="374"/>
      <c r="AH35" s="382"/>
      <c r="AI35" s="374"/>
      <c r="AJ35" s="382"/>
      <c r="AK35" s="374"/>
      <c r="AL35" s="382"/>
      <c r="AM35" s="374"/>
      <c r="AN35" s="382"/>
      <c r="AO35" s="383"/>
      <c r="AP35" s="382"/>
      <c r="AQ35" s="374"/>
      <c r="AR35" s="382"/>
      <c r="AS35" s="374"/>
      <c r="AT35" s="382"/>
      <c r="AU35" s="374"/>
      <c r="AV35" s="382"/>
      <c r="AW35" s="751"/>
      <c r="AX35" s="751"/>
      <c r="AY35" s="751"/>
      <c r="AZ35" s="751"/>
      <c r="BA35" s="1437">
        <f>D35</f>
        <v>519711</v>
      </c>
      <c r="BB35" s="384">
        <f>K35+M35+O35+Q35+S35+U35+W35+Y35+AA35+AC35+AE35+AG35+AI35</f>
        <v>519711</v>
      </c>
      <c r="BC35" s="385">
        <f>K35+M35+O35+Q35+S35+U35+W35+Y35+AA35+AC35+AE35+AG35+AI35+AK35+AM35+AO35+AQ35+AS35+AU35</f>
        <v>519711</v>
      </c>
      <c r="BD35" s="386"/>
    </row>
    <row r="36" spans="1:90" ht="14.1">
      <c r="A36" s="1067"/>
      <c r="B36" s="1165"/>
      <c r="C36" s="1086"/>
      <c r="D36" s="1104"/>
      <c r="E36" s="728" t="s">
        <v>708</v>
      </c>
      <c r="F36" s="1122"/>
      <c r="G36" s="1122"/>
      <c r="H36" s="210"/>
      <c r="I36" s="387"/>
      <c r="J36" s="388" t="s">
        <v>92</v>
      </c>
      <c r="K36" s="389"/>
      <c r="L36" s="1400"/>
      <c r="M36" s="212"/>
      <c r="N36" s="212"/>
      <c r="O36" s="390"/>
      <c r="P36" s="1125"/>
      <c r="Q36" s="377"/>
      <c r="R36" s="1441"/>
      <c r="U36" s="375"/>
      <c r="V36" s="1381"/>
      <c r="W36" s="212"/>
      <c r="X36" s="212"/>
      <c r="Y36" s="391">
        <v>0</v>
      </c>
      <c r="Z36" s="1059"/>
      <c r="AA36" s="392"/>
      <c r="AB36" s="1444"/>
      <c r="AC36" s="393"/>
      <c r="AD36" s="394"/>
      <c r="AE36" s="212"/>
      <c r="AF36" s="394"/>
      <c r="AG36" s="212"/>
      <c r="AH36" s="394"/>
      <c r="AI36" s="212"/>
      <c r="AJ36" s="394"/>
      <c r="AK36" s="212"/>
      <c r="AL36" s="394"/>
      <c r="AM36" s="212"/>
      <c r="AN36" s="394"/>
      <c r="AO36" s="395"/>
      <c r="AP36" s="394"/>
      <c r="AQ36" s="212"/>
      <c r="AR36" s="394"/>
      <c r="AS36" s="212"/>
      <c r="AT36" s="394"/>
      <c r="AU36" s="212"/>
      <c r="AV36" s="394"/>
      <c r="AW36" s="751"/>
      <c r="AX36" s="751"/>
      <c r="AY36" s="751"/>
      <c r="AZ36" s="751"/>
      <c r="BA36" s="1383"/>
      <c r="BB36" s="253"/>
      <c r="BC36" s="218"/>
      <c r="BD36" s="396">
        <f>M36+O36+Q36+S36+U36+W36+Y36+AA36+AC36+AE36+AG36+AI36+AK36+AM36+AO36+AQ36+AS36+AU36</f>
        <v>0</v>
      </c>
    </row>
    <row r="37" spans="1:90" ht="14.1">
      <c r="A37" s="1067"/>
      <c r="B37" s="1165"/>
      <c r="C37" s="1086"/>
      <c r="D37" s="1104"/>
      <c r="E37" s="728" t="s">
        <v>709</v>
      </c>
      <c r="F37" s="1122"/>
      <c r="G37" s="1122"/>
      <c r="H37" s="210" t="s">
        <v>27</v>
      </c>
      <c r="I37" s="387">
        <v>45748</v>
      </c>
      <c r="J37" s="212"/>
      <c r="K37" s="389"/>
      <c r="L37" s="1400"/>
      <c r="M37" s="397"/>
      <c r="N37" s="212"/>
      <c r="O37" s="390"/>
      <c r="P37" s="1125"/>
      <c r="Q37" s="377"/>
      <c r="R37" s="1441"/>
      <c r="U37" s="389"/>
      <c r="V37" s="1381"/>
      <c r="W37" s="212"/>
      <c r="X37" s="212"/>
      <c r="Y37" s="398"/>
      <c r="Z37" s="1059"/>
      <c r="AA37" s="392"/>
      <c r="AB37" s="1444"/>
      <c r="AC37" s="393"/>
      <c r="AD37" s="394"/>
      <c r="AE37" s="212"/>
      <c r="AF37" s="394"/>
      <c r="AG37" s="212"/>
      <c r="AH37" s="394"/>
      <c r="AI37" s="212"/>
      <c r="AJ37" s="394"/>
      <c r="AK37" s="212"/>
      <c r="AL37" s="394"/>
      <c r="AM37" s="212"/>
      <c r="AN37" s="394"/>
      <c r="AO37" s="395"/>
      <c r="AP37" s="394"/>
      <c r="AQ37" s="212"/>
      <c r="AR37" s="394"/>
      <c r="AS37" s="212"/>
      <c r="AT37" s="394"/>
      <c r="AU37" s="212"/>
      <c r="AV37" s="394"/>
      <c r="AW37" s="751"/>
      <c r="AX37" s="751"/>
      <c r="AY37" s="751"/>
      <c r="AZ37" s="751"/>
      <c r="BA37" s="1383"/>
      <c r="BB37" s="253"/>
      <c r="BC37" s="218"/>
      <c r="BD37" s="399"/>
    </row>
    <row r="38" spans="1:90" ht="14.1">
      <c r="A38" s="1067"/>
      <c r="B38" s="1165"/>
      <c r="C38" s="1086"/>
      <c r="D38" s="1104"/>
      <c r="E38" s="724" t="s">
        <v>705</v>
      </c>
      <c r="F38" s="1122"/>
      <c r="G38" s="1122"/>
      <c r="H38" s="210"/>
      <c r="I38" s="387"/>
      <c r="J38" s="229"/>
      <c r="K38" s="389"/>
      <c r="L38" s="1400"/>
      <c r="M38" s="434"/>
      <c r="N38" s="229"/>
      <c r="O38" s="390"/>
      <c r="P38" s="1125"/>
      <c r="Q38" s="377"/>
      <c r="R38" s="1441"/>
      <c r="U38" s="389"/>
      <c r="V38" s="1381"/>
      <c r="W38" s="229"/>
      <c r="X38" s="229"/>
      <c r="Y38" s="432"/>
      <c r="Z38" s="1059"/>
      <c r="AA38" s="392"/>
      <c r="AB38" s="727"/>
      <c r="AC38" s="393"/>
      <c r="AD38" s="729"/>
      <c r="AE38" s="229"/>
      <c r="AF38" s="729"/>
      <c r="AG38" s="229"/>
      <c r="AH38" s="729"/>
      <c r="AI38" s="229"/>
      <c r="AJ38" s="729"/>
      <c r="AK38" s="229"/>
      <c r="AL38" s="729"/>
      <c r="AM38" s="229"/>
      <c r="AN38" s="729"/>
      <c r="AO38" s="395"/>
      <c r="AP38" s="729"/>
      <c r="AQ38" s="229"/>
      <c r="AR38" s="729"/>
      <c r="AS38" s="229"/>
      <c r="AT38" s="729"/>
      <c r="AU38" s="229"/>
      <c r="AV38" s="729"/>
      <c r="AW38" s="751"/>
      <c r="AX38" s="751"/>
      <c r="AY38" s="751"/>
      <c r="AZ38" s="751"/>
      <c r="BA38" s="1383"/>
      <c r="BB38" s="253"/>
      <c r="BC38" s="218"/>
      <c r="BD38" s="399"/>
    </row>
    <row r="39" spans="1:90" ht="14.4" thickBot="1">
      <c r="A39" s="1175"/>
      <c r="B39" s="1167"/>
      <c r="C39" s="1182"/>
      <c r="D39" s="1213"/>
      <c r="E39" s="724" t="s">
        <v>706</v>
      </c>
      <c r="F39" s="1123"/>
      <c r="G39" s="1137"/>
      <c r="H39" s="210" t="s">
        <v>30</v>
      </c>
      <c r="I39" s="400">
        <v>45839</v>
      </c>
      <c r="J39" s="401" t="s">
        <v>93</v>
      </c>
      <c r="K39" s="402"/>
      <c r="L39" s="1450"/>
      <c r="M39" s="401"/>
      <c r="N39" s="401"/>
      <c r="O39" s="403"/>
      <c r="P39" s="1126"/>
      <c r="Q39" s="377"/>
      <c r="R39" s="1442"/>
      <c r="S39" s="404"/>
      <c r="T39" s="404"/>
      <c r="U39" s="402"/>
      <c r="V39" s="1382"/>
      <c r="W39" s="401"/>
      <c r="X39" s="401"/>
      <c r="Y39" s="405"/>
      <c r="Z39" s="1062"/>
      <c r="AA39" s="406"/>
      <c r="AB39" s="407"/>
      <c r="AC39" s="393"/>
      <c r="AD39" s="408"/>
      <c r="AE39" s="401"/>
      <c r="AF39" s="408"/>
      <c r="AG39" s="401"/>
      <c r="AH39" s="408"/>
      <c r="AI39" s="401"/>
      <c r="AJ39" s="408"/>
      <c r="AK39" s="401"/>
      <c r="AL39" s="408"/>
      <c r="AM39" s="401"/>
      <c r="AN39" s="408"/>
      <c r="AO39" s="409"/>
      <c r="AP39" s="408"/>
      <c r="AQ39" s="401"/>
      <c r="AR39" s="408"/>
      <c r="AS39" s="401"/>
      <c r="AT39" s="408"/>
      <c r="AU39" s="401"/>
      <c r="AV39" s="408"/>
      <c r="AW39" s="751"/>
      <c r="AX39" s="751"/>
      <c r="AY39" s="751"/>
      <c r="AZ39" s="751"/>
      <c r="BA39" s="1445"/>
      <c r="BB39" s="369"/>
      <c r="BC39" s="370"/>
      <c r="BD39" s="399"/>
    </row>
    <row r="40" spans="1:90" s="420" customFormat="1" ht="14.1">
      <c r="A40" s="1221">
        <v>13</v>
      </c>
      <c r="B40" s="1438" t="s">
        <v>94</v>
      </c>
      <c r="C40" s="1440" t="s">
        <v>20</v>
      </c>
      <c r="D40" s="1231">
        <v>288000</v>
      </c>
      <c r="E40" s="1214" t="s">
        <v>95</v>
      </c>
      <c r="F40" s="1217" t="s">
        <v>96</v>
      </c>
      <c r="G40" s="1299" t="s">
        <v>87</v>
      </c>
      <c r="H40" s="411"/>
      <c r="I40" s="411" t="s">
        <v>97</v>
      </c>
      <c r="J40" s="412" t="s">
        <v>98</v>
      </c>
      <c r="K40" s="413"/>
      <c r="L40" s="412"/>
      <c r="M40" s="412"/>
      <c r="N40" s="412"/>
      <c r="O40" s="730">
        <f>D40</f>
        <v>288000</v>
      </c>
      <c r="P40" s="1422" t="s">
        <v>710</v>
      </c>
      <c r="Q40" s="414"/>
      <c r="R40" s="415"/>
      <c r="S40" s="416"/>
      <c r="T40" s="1066"/>
      <c r="U40" s="417"/>
      <c r="V40" s="1308"/>
      <c r="W40" s="412"/>
      <c r="X40" s="412"/>
      <c r="Y40" s="412"/>
      <c r="Z40" s="412"/>
      <c r="AA40" s="412"/>
      <c r="AB40" s="418"/>
      <c r="AC40" s="412"/>
      <c r="AD40" s="418"/>
      <c r="AE40" s="412"/>
      <c r="AF40" s="418"/>
      <c r="AG40" s="412"/>
      <c r="AH40" s="418"/>
      <c r="AI40" s="412"/>
      <c r="AJ40" s="418"/>
      <c r="AK40" s="412"/>
      <c r="AL40" s="418"/>
      <c r="AM40" s="412"/>
      <c r="AN40" s="418"/>
      <c r="AO40" s="412"/>
      <c r="AP40" s="418"/>
      <c r="AQ40" s="412"/>
      <c r="AR40" s="418"/>
      <c r="AS40" s="412"/>
      <c r="AT40" s="418"/>
      <c r="AU40" s="412"/>
      <c r="AV40" s="418"/>
      <c r="AW40" s="752"/>
      <c r="AX40" s="752"/>
      <c r="AY40" s="752"/>
      <c r="AZ40" s="752"/>
      <c r="BA40" s="1437">
        <f>D40</f>
        <v>288000</v>
      </c>
      <c r="BB40" s="384">
        <f>K40+M40+O40+Q40+S40+U40+W40+Y40+AA40+AC40+AE40+AG40+AI40</f>
        <v>288000</v>
      </c>
      <c r="BC40" s="385">
        <f>M40+O40+Q40+S40+U40+W40+Y40+AA40+AC40+AE40+AG40+AI40+AK40+AM40+AO40+AQ40+AS40+AU40</f>
        <v>288000</v>
      </c>
      <c r="BD40" s="198"/>
      <c r="BE40" s="419"/>
      <c r="BF40" s="419"/>
      <c r="BG40" s="419"/>
      <c r="BH40" s="419"/>
      <c r="BI40" s="419"/>
      <c r="BJ40" s="419"/>
      <c r="BK40" s="419"/>
      <c r="BL40" s="419"/>
      <c r="BM40" s="419"/>
      <c r="BN40" s="419"/>
      <c r="BO40" s="419"/>
      <c r="BP40" s="419"/>
      <c r="BQ40" s="419"/>
      <c r="BR40" s="419"/>
      <c r="BS40" s="419"/>
      <c r="BT40" s="419"/>
      <c r="BU40" s="419"/>
      <c r="BV40" s="419"/>
      <c r="BW40" s="419"/>
      <c r="BX40" s="419"/>
      <c r="BY40" s="419"/>
      <c r="BZ40" s="419"/>
      <c r="CA40" s="419"/>
      <c r="CB40" s="419"/>
      <c r="CC40" s="419"/>
      <c r="CD40" s="419"/>
      <c r="CE40" s="419"/>
      <c r="CF40" s="419"/>
      <c r="CG40" s="419"/>
      <c r="CH40" s="419"/>
      <c r="CI40" s="419"/>
      <c r="CJ40" s="419"/>
      <c r="CK40" s="419"/>
      <c r="CL40" s="419"/>
    </row>
    <row r="41" spans="1:90" s="420" customFormat="1" ht="14.1">
      <c r="A41" s="1222"/>
      <c r="B41" s="1439"/>
      <c r="C41" s="1237"/>
      <c r="D41" s="1232"/>
      <c r="E41" s="1215"/>
      <c r="F41" s="1218"/>
      <c r="G41" s="1300"/>
      <c r="H41" s="422"/>
      <c r="I41" s="423">
        <v>45778</v>
      </c>
      <c r="J41" s="424" t="s">
        <v>99</v>
      </c>
      <c r="K41" s="425"/>
      <c r="L41" s="397"/>
      <c r="M41" s="397"/>
      <c r="N41" s="397"/>
      <c r="O41" s="731"/>
      <c r="P41" s="1400"/>
      <c r="Q41" s="296"/>
      <c r="R41" s="426"/>
      <c r="S41" s="427"/>
      <c r="T41" s="1067"/>
      <c r="U41" s="428"/>
      <c r="V41" s="1309"/>
      <c r="W41" s="397"/>
      <c r="X41" s="397"/>
      <c r="Y41" s="397"/>
      <c r="Z41" s="397"/>
      <c r="AA41" s="397"/>
      <c r="AB41" s="429"/>
      <c r="AC41" s="397"/>
      <c r="AD41" s="429"/>
      <c r="AE41" s="397"/>
      <c r="AF41" s="429"/>
      <c r="AG41" s="397"/>
      <c r="AH41" s="429"/>
      <c r="AI41" s="397"/>
      <c r="AJ41" s="429"/>
      <c r="AK41" s="397"/>
      <c r="AL41" s="429"/>
      <c r="AM41" s="397"/>
      <c r="AN41" s="429"/>
      <c r="AO41" s="397"/>
      <c r="AP41" s="429"/>
      <c r="AQ41" s="397"/>
      <c r="AR41" s="429"/>
      <c r="AS41" s="397"/>
      <c r="AT41" s="429"/>
      <c r="AU41" s="397"/>
      <c r="AV41" s="429"/>
      <c r="AW41" s="752"/>
      <c r="AX41" s="752"/>
      <c r="AY41" s="752"/>
      <c r="AZ41" s="752"/>
      <c r="BA41" s="1383"/>
      <c r="BB41" s="253"/>
      <c r="BC41" s="218"/>
      <c r="BD41" s="430">
        <f>M41+O41+Q41+S41+U41+W41+Y41+AA41+AC41+AE41+AG41+AI41+AK41+AM41+AO41+AQ41+AS41+AU41</f>
        <v>0</v>
      </c>
      <c r="BE41" s="419"/>
      <c r="BF41" s="419"/>
      <c r="BG41" s="419"/>
      <c r="BH41" s="419"/>
      <c r="BI41" s="419"/>
      <c r="BJ41" s="419"/>
      <c r="BK41" s="419"/>
      <c r="BL41" s="419"/>
      <c r="BM41" s="419"/>
      <c r="BN41" s="419"/>
      <c r="BO41" s="419"/>
      <c r="BP41" s="419"/>
      <c r="BQ41" s="419"/>
      <c r="BR41" s="419"/>
      <c r="BS41" s="419"/>
      <c r="BT41" s="419"/>
      <c r="BU41" s="419"/>
      <c r="BV41" s="419"/>
      <c r="BW41" s="419"/>
      <c r="BX41" s="419"/>
      <c r="BY41" s="419"/>
      <c r="BZ41" s="419"/>
      <c r="CA41" s="419"/>
      <c r="CB41" s="419"/>
      <c r="CC41" s="419"/>
      <c r="CD41" s="419"/>
      <c r="CE41" s="419"/>
      <c r="CF41" s="419"/>
      <c r="CG41" s="419"/>
      <c r="CH41" s="419"/>
      <c r="CI41" s="419"/>
      <c r="CJ41" s="419"/>
      <c r="CK41" s="419"/>
      <c r="CL41" s="419"/>
    </row>
    <row r="42" spans="1:90" s="420" customFormat="1" ht="14.1">
      <c r="A42" s="1222"/>
      <c r="B42" s="1439"/>
      <c r="C42" s="1237"/>
      <c r="D42" s="1232"/>
      <c r="E42" s="1215"/>
      <c r="F42" s="1218"/>
      <c r="G42" s="1300"/>
      <c r="H42" s="422"/>
      <c r="I42" s="422"/>
      <c r="J42" s="397"/>
      <c r="K42" s="425"/>
      <c r="L42" s="397"/>
      <c r="M42" s="397"/>
      <c r="N42" s="397"/>
      <c r="O42" s="731"/>
      <c r="P42" s="1400"/>
      <c r="Q42" s="296"/>
      <c r="R42" s="426"/>
      <c r="S42" s="427"/>
      <c r="T42" s="1067"/>
      <c r="U42" s="428"/>
      <c r="V42" s="1309"/>
      <c r="W42" s="397"/>
      <c r="X42" s="397"/>
      <c r="Y42" s="397"/>
      <c r="Z42" s="397"/>
      <c r="AA42" s="397"/>
      <c r="AB42" s="429"/>
      <c r="AC42" s="397"/>
      <c r="AD42" s="429"/>
      <c r="AE42" s="397"/>
      <c r="AF42" s="429"/>
      <c r="AG42" s="397"/>
      <c r="AH42" s="429"/>
      <c r="AI42" s="397"/>
      <c r="AJ42" s="429"/>
      <c r="AK42" s="397"/>
      <c r="AL42" s="429"/>
      <c r="AM42" s="397"/>
      <c r="AN42" s="429"/>
      <c r="AO42" s="397"/>
      <c r="AP42" s="429"/>
      <c r="AQ42" s="397"/>
      <c r="AR42" s="429"/>
      <c r="AS42" s="397"/>
      <c r="AT42" s="429"/>
      <c r="AU42" s="397"/>
      <c r="AV42" s="429"/>
      <c r="AW42" s="752"/>
      <c r="AX42" s="752"/>
      <c r="AY42" s="752"/>
      <c r="AZ42" s="752"/>
      <c r="BA42" s="1383"/>
      <c r="BB42" s="253"/>
      <c r="BC42" s="218"/>
      <c r="BD42" s="431"/>
      <c r="BE42" s="419"/>
      <c r="BF42" s="419"/>
      <c r="BG42" s="419"/>
      <c r="BH42" s="419"/>
      <c r="BI42" s="419"/>
      <c r="BJ42" s="419"/>
      <c r="BK42" s="419"/>
      <c r="BL42" s="419"/>
      <c r="BM42" s="419"/>
      <c r="BN42" s="419"/>
      <c r="BO42" s="419"/>
      <c r="BP42" s="419"/>
      <c r="BQ42" s="419"/>
      <c r="BR42" s="419"/>
      <c r="BS42" s="419"/>
      <c r="BT42" s="419"/>
      <c r="BU42" s="419"/>
      <c r="BV42" s="419"/>
      <c r="BW42" s="419"/>
      <c r="BX42" s="419"/>
      <c r="BY42" s="419"/>
      <c r="BZ42" s="419"/>
      <c r="CA42" s="419"/>
      <c r="CB42" s="419"/>
      <c r="CC42" s="419"/>
      <c r="CD42" s="419"/>
      <c r="CE42" s="419"/>
      <c r="CF42" s="419"/>
      <c r="CG42" s="419"/>
      <c r="CH42" s="419"/>
      <c r="CI42" s="419"/>
      <c r="CJ42" s="419"/>
      <c r="CK42" s="419"/>
      <c r="CL42" s="419"/>
    </row>
    <row r="43" spans="1:90" s="420" customFormat="1" ht="14.4" thickBot="1">
      <c r="A43" s="1222"/>
      <c r="B43" s="1439"/>
      <c r="C43" s="1237"/>
      <c r="D43" s="1233"/>
      <c r="E43" s="1216"/>
      <c r="F43" s="1218"/>
      <c r="G43" s="1300"/>
      <c r="H43" s="433"/>
      <c r="I43" s="433"/>
      <c r="J43" s="434"/>
      <c r="K43" s="435"/>
      <c r="L43" s="434"/>
      <c r="M43" s="434"/>
      <c r="N43" s="434"/>
      <c r="O43" s="731"/>
      <c r="P43" s="1400"/>
      <c r="Q43" s="436"/>
      <c r="R43" s="437"/>
      <c r="S43" s="427"/>
      <c r="T43" s="1067"/>
      <c r="U43" s="428"/>
      <c r="V43" s="1309"/>
      <c r="W43" s="434"/>
      <c r="X43" s="434"/>
      <c r="Y43" s="434"/>
      <c r="Z43" s="434"/>
      <c r="AA43" s="434"/>
      <c r="AB43" s="438"/>
      <c r="AC43" s="434"/>
      <c r="AD43" s="438"/>
      <c r="AE43" s="434"/>
      <c r="AF43" s="438"/>
      <c r="AG43" s="434"/>
      <c r="AH43" s="438"/>
      <c r="AI43" s="434"/>
      <c r="AJ43" s="438"/>
      <c r="AK43" s="434"/>
      <c r="AL43" s="438"/>
      <c r="AM43" s="434"/>
      <c r="AN43" s="438"/>
      <c r="AO43" s="434"/>
      <c r="AP43" s="438"/>
      <c r="AQ43" s="434"/>
      <c r="AR43" s="438"/>
      <c r="AS43" s="434"/>
      <c r="AT43" s="438"/>
      <c r="AU43" s="434"/>
      <c r="AV43" s="438"/>
      <c r="AW43" s="752"/>
      <c r="AX43" s="752"/>
      <c r="AY43" s="752"/>
      <c r="AZ43" s="752"/>
      <c r="BA43" s="1383"/>
      <c r="BB43" s="253"/>
      <c r="BC43" s="218"/>
      <c r="BD43" s="431"/>
      <c r="BE43" s="419"/>
      <c r="BF43" s="419"/>
      <c r="BG43" s="419"/>
      <c r="BH43" s="419"/>
      <c r="BI43" s="419"/>
      <c r="BJ43" s="419"/>
      <c r="BK43" s="419"/>
      <c r="BL43" s="419"/>
      <c r="BM43" s="419"/>
      <c r="BN43" s="419"/>
      <c r="BO43" s="419"/>
      <c r="BP43" s="419"/>
      <c r="BQ43" s="419"/>
      <c r="BR43" s="419"/>
      <c r="BS43" s="419"/>
      <c r="BT43" s="419"/>
      <c r="BU43" s="419"/>
      <c r="BV43" s="419"/>
      <c r="BW43" s="419"/>
      <c r="BX43" s="419"/>
      <c r="BY43" s="419"/>
      <c r="BZ43" s="419"/>
      <c r="CA43" s="419"/>
      <c r="CB43" s="419"/>
      <c r="CC43" s="419"/>
      <c r="CD43" s="419"/>
      <c r="CE43" s="419"/>
      <c r="CF43" s="419"/>
      <c r="CG43" s="419"/>
      <c r="CH43" s="419"/>
      <c r="CI43" s="419"/>
      <c r="CJ43" s="419"/>
      <c r="CK43" s="419"/>
      <c r="CL43" s="419"/>
    </row>
    <row r="44" spans="1:90" ht="14.1" thickBot="1">
      <c r="A44" s="1158">
        <v>14</v>
      </c>
      <c r="B44" s="1164" t="s">
        <v>100</v>
      </c>
      <c r="C44" s="1085" t="s">
        <v>101</v>
      </c>
      <c r="D44" s="1105">
        <v>916155</v>
      </c>
      <c r="E44" s="1191" t="s">
        <v>102</v>
      </c>
      <c r="F44" s="1060" t="s">
        <v>21</v>
      </c>
      <c r="G44" s="441" t="s">
        <v>103</v>
      </c>
      <c r="H44" s="441" t="s">
        <v>23</v>
      </c>
      <c r="I44" s="442">
        <v>45673</v>
      </c>
      <c r="J44" s="443" t="s">
        <v>104</v>
      </c>
      <c r="K44" s="444"/>
      <c r="L44" s="1432"/>
      <c r="M44" s="201"/>
      <c r="N44" s="201"/>
      <c r="O44" s="445"/>
      <c r="P44" s="1434"/>
      <c r="Q44" s="446"/>
      <c r="R44" s="1288"/>
      <c r="S44" s="447">
        <v>458077.5</v>
      </c>
      <c r="T44" s="1401" t="s">
        <v>105</v>
      </c>
      <c r="U44" s="263"/>
      <c r="V44" s="1289"/>
      <c r="W44" s="448"/>
      <c r="X44" s="1289"/>
      <c r="Y44" s="201"/>
      <c r="Z44" s="201"/>
      <c r="AA44" s="448"/>
      <c r="AB44" s="1289"/>
      <c r="AC44" s="734">
        <f>D44/2</f>
        <v>458077.5</v>
      </c>
      <c r="AD44" s="1402" t="s">
        <v>713</v>
      </c>
      <c r="AE44" s="201"/>
      <c r="AF44" s="201"/>
      <c r="AG44" s="201"/>
      <c r="AH44" s="201"/>
      <c r="AI44" s="201"/>
      <c r="AJ44" s="201"/>
      <c r="AK44" s="201"/>
      <c r="AL44" s="201"/>
      <c r="AM44" s="201"/>
      <c r="AN44" s="201"/>
      <c r="AO44" s="201"/>
      <c r="AP44" s="201"/>
      <c r="AQ44" s="201"/>
      <c r="AR44" s="201"/>
      <c r="AS44" s="201"/>
      <c r="AT44" s="201"/>
      <c r="AU44" s="201"/>
      <c r="AV44" s="201"/>
      <c r="AW44" s="596"/>
      <c r="AX44" s="596"/>
      <c r="AY44" s="596"/>
      <c r="AZ44" s="596"/>
      <c r="BA44" s="1385">
        <f>D44</f>
        <v>916155</v>
      </c>
      <c r="BB44" s="241">
        <f>K44+M44+O44+Q44+S44+U44+W44+Y44+AA44+AC44+AE44+AG44+AI44</f>
        <v>916155</v>
      </c>
      <c r="BC44" s="267">
        <f>M44+O44+Q44+S44+U44+W44+Y44+AA44+AC44+AE44+AG44+AI44+AK44+AM44+AO44+AQ44+AS44+AU44</f>
        <v>916155</v>
      </c>
      <c r="BD44" s="268"/>
    </row>
    <row r="45" spans="1:90" ht="14.1">
      <c r="A45" s="1159"/>
      <c r="B45" s="1165"/>
      <c r="C45" s="1086"/>
      <c r="D45" s="1106"/>
      <c r="E45" s="1192"/>
      <c r="F45" s="1059"/>
      <c r="G45" s="421"/>
      <c r="H45" s="421" t="s">
        <v>25</v>
      </c>
      <c r="I45" s="449">
        <v>45748</v>
      </c>
      <c r="J45" s="450" t="s">
        <v>106</v>
      </c>
      <c r="K45" s="451"/>
      <c r="L45" s="1433"/>
      <c r="M45" s="212"/>
      <c r="N45" s="212"/>
      <c r="O45" s="452"/>
      <c r="P45" s="1435"/>
      <c r="Q45" s="453"/>
      <c r="R45" s="1059"/>
      <c r="S45" s="454"/>
      <c r="T45" s="1400"/>
      <c r="U45" s="269"/>
      <c r="V45" s="1314"/>
      <c r="W45" s="455"/>
      <c r="X45" s="1215"/>
      <c r="Y45" s="212"/>
      <c r="Z45" s="212"/>
      <c r="AA45" s="455"/>
      <c r="AB45" s="1215"/>
      <c r="AC45" s="733"/>
      <c r="AD45" s="1381"/>
      <c r="AE45" s="212"/>
      <c r="AF45" s="212"/>
      <c r="AG45" s="212"/>
      <c r="AH45" s="212"/>
      <c r="AI45" s="212"/>
      <c r="AJ45" s="212"/>
      <c r="AK45" s="212"/>
      <c r="AL45" s="212"/>
      <c r="AM45" s="212"/>
      <c r="AN45" s="212"/>
      <c r="AO45" s="212"/>
      <c r="AP45" s="212"/>
      <c r="AQ45" s="212"/>
      <c r="AR45" s="212"/>
      <c r="AS45" s="212"/>
      <c r="AT45" s="212"/>
      <c r="AU45" s="212"/>
      <c r="AV45" s="212"/>
      <c r="AW45" s="356"/>
      <c r="AX45" s="356"/>
      <c r="AY45" s="356"/>
      <c r="AZ45" s="356"/>
      <c r="BA45" s="1383"/>
      <c r="BB45" s="253"/>
      <c r="BC45" s="218"/>
      <c r="BD45" s="220">
        <f>M45+O45+Q45+S45+U45+W45+Y45+AA45+AC45+AE45+AG45+AI45+AK45+AM45+AO45+AQ45+AS45+AU45</f>
        <v>0</v>
      </c>
    </row>
    <row r="46" spans="1:90">
      <c r="A46" s="1159"/>
      <c r="B46" s="1165"/>
      <c r="C46" s="1086"/>
      <c r="D46" s="1106"/>
      <c r="E46" s="1192"/>
      <c r="F46" s="1059"/>
      <c r="G46" s="421" t="s">
        <v>107</v>
      </c>
      <c r="H46" s="421" t="s">
        <v>27</v>
      </c>
      <c r="I46" s="449">
        <v>45839</v>
      </c>
      <c r="J46" s="397" t="s">
        <v>108</v>
      </c>
      <c r="K46" s="451"/>
      <c r="L46" s="1433"/>
      <c r="M46" s="212"/>
      <c r="N46" s="212"/>
      <c r="O46" s="452"/>
      <c r="P46" s="1435"/>
      <c r="Q46" s="453"/>
      <c r="R46" s="1059"/>
      <c r="S46" s="456"/>
      <c r="T46" s="1400"/>
      <c r="U46" s="269"/>
      <c r="V46" s="1314"/>
      <c r="W46" s="455"/>
      <c r="X46" s="1215"/>
      <c r="Y46" s="212"/>
      <c r="Z46" s="212"/>
      <c r="AA46" s="455"/>
      <c r="AB46" s="1215"/>
      <c r="AC46" s="500"/>
      <c r="AD46" s="1381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356"/>
      <c r="AX46" s="356"/>
      <c r="AY46" s="356"/>
      <c r="AZ46" s="356"/>
      <c r="BA46" s="1383"/>
      <c r="BB46" s="253"/>
      <c r="BC46" s="218"/>
      <c r="BD46" s="222"/>
    </row>
    <row r="47" spans="1:90" ht="14.1" thickBot="1">
      <c r="A47" s="1159"/>
      <c r="B47" s="1165"/>
      <c r="C47" s="1086"/>
      <c r="D47" s="1107"/>
      <c r="E47" s="1295"/>
      <c r="F47" s="1059"/>
      <c r="G47" s="421"/>
      <c r="H47" s="421" t="s">
        <v>30</v>
      </c>
      <c r="I47" s="457">
        <v>45931</v>
      </c>
      <c r="J47" s="458" t="s">
        <v>109</v>
      </c>
      <c r="K47" s="451"/>
      <c r="L47" s="1433"/>
      <c r="M47" s="229"/>
      <c r="N47" s="229"/>
      <c r="O47" s="452"/>
      <c r="P47" s="1436"/>
      <c r="Q47" s="453"/>
      <c r="R47" s="1059"/>
      <c r="S47" s="456"/>
      <c r="T47" s="1400"/>
      <c r="U47" s="269"/>
      <c r="V47" s="1314"/>
      <c r="W47" s="455"/>
      <c r="X47" s="1215"/>
      <c r="Y47" s="229"/>
      <c r="Z47" s="229"/>
      <c r="AA47" s="455"/>
      <c r="AB47" s="1215"/>
      <c r="AC47" s="500"/>
      <c r="AD47" s="1382"/>
      <c r="AE47" s="229"/>
      <c r="AF47" s="229"/>
      <c r="AG47" s="229"/>
      <c r="AH47" s="229"/>
      <c r="AI47" s="229"/>
      <c r="AJ47" s="229"/>
      <c r="AK47" s="229"/>
      <c r="AL47" s="229"/>
      <c r="AM47" s="229"/>
      <c r="AN47" s="229"/>
      <c r="AO47" s="229"/>
      <c r="AP47" s="229"/>
      <c r="AQ47" s="229"/>
      <c r="AR47" s="229"/>
      <c r="AS47" s="229"/>
      <c r="AT47" s="229"/>
      <c r="AU47" s="229"/>
      <c r="AV47" s="229"/>
      <c r="AW47" s="356"/>
      <c r="AX47" s="356"/>
      <c r="AY47" s="356"/>
      <c r="AZ47" s="356"/>
      <c r="BA47" s="1383"/>
      <c r="BB47" s="253"/>
      <c r="BC47" s="218"/>
      <c r="BD47" s="222"/>
    </row>
    <row r="48" spans="1:90" ht="14.4" thickBot="1">
      <c r="A48" s="1158">
        <v>15</v>
      </c>
      <c r="B48" s="1164" t="s">
        <v>110</v>
      </c>
      <c r="C48" s="1085" t="s">
        <v>111</v>
      </c>
      <c r="D48" s="1105">
        <v>537664</v>
      </c>
      <c r="E48" s="1191" t="s">
        <v>102</v>
      </c>
      <c r="F48" s="1301" t="s">
        <v>21</v>
      </c>
      <c r="G48" s="459" t="s">
        <v>103</v>
      </c>
      <c r="H48" s="460" t="s">
        <v>23</v>
      </c>
      <c r="I48" s="442">
        <v>45673</v>
      </c>
      <c r="J48" s="443" t="s">
        <v>104</v>
      </c>
      <c r="K48" s="444"/>
      <c r="L48" s="461"/>
      <c r="M48" s="201"/>
      <c r="N48" s="201"/>
      <c r="O48" s="201"/>
      <c r="P48" s="462"/>
      <c r="Q48" s="346"/>
      <c r="R48" s="346"/>
      <c r="S48" s="447">
        <f>D48/2</f>
        <v>268832</v>
      </c>
      <c r="T48" s="1401" t="s">
        <v>112</v>
      </c>
      <c r="U48" s="263"/>
      <c r="V48" s="1289"/>
      <c r="W48" s="448"/>
      <c r="X48" s="1289"/>
      <c r="Y48" s="201"/>
      <c r="Z48" s="201"/>
      <c r="AA48" s="448"/>
      <c r="AB48" s="1289"/>
      <c r="AC48" s="734">
        <f>D48/2</f>
        <v>268832</v>
      </c>
      <c r="AD48" s="1399" t="s">
        <v>713</v>
      </c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596"/>
      <c r="AX48" s="596"/>
      <c r="AY48" s="596"/>
      <c r="AZ48" s="596"/>
      <c r="BA48" s="1385">
        <f>D48</f>
        <v>537664</v>
      </c>
      <c r="BB48" s="241">
        <f>K48+M48+O48+Q48+S48+U48+W48+Y48+AA48+AC48+AE48+AG48+AI48</f>
        <v>537664</v>
      </c>
      <c r="BC48" s="267">
        <f>M48+O48+Q48+S48+U48+W48+Y48+AA48+AC48+AE48+AG48+AI48+AK48+AM48+AO48+AQ48+AS48+AU48</f>
        <v>537664</v>
      </c>
      <c r="BD48" s="268"/>
    </row>
    <row r="49" spans="1:62" ht="14.1">
      <c r="A49" s="1159"/>
      <c r="B49" s="1165"/>
      <c r="C49" s="1086"/>
      <c r="D49" s="1106"/>
      <c r="E49" s="1192"/>
      <c r="F49" s="1302"/>
      <c r="G49" s="463"/>
      <c r="H49" s="464" t="s">
        <v>25</v>
      </c>
      <c r="I49" s="449">
        <v>45748</v>
      </c>
      <c r="J49" s="450" t="s">
        <v>113</v>
      </c>
      <c r="K49" s="451"/>
      <c r="L49" s="465"/>
      <c r="M49" s="212"/>
      <c r="N49" s="212"/>
      <c r="O49" s="212"/>
      <c r="P49" s="358"/>
      <c r="S49" s="466"/>
      <c r="T49" s="1400"/>
      <c r="U49" s="269"/>
      <c r="V49" s="1314"/>
      <c r="W49" s="455"/>
      <c r="X49" s="1215"/>
      <c r="Y49" s="212"/>
      <c r="Z49" s="212"/>
      <c r="AA49" s="455"/>
      <c r="AB49" s="1215"/>
      <c r="AC49" s="733"/>
      <c r="AD49" s="1400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356"/>
      <c r="AX49" s="356"/>
      <c r="AY49" s="356"/>
      <c r="AZ49" s="356"/>
      <c r="BA49" s="1383"/>
      <c r="BB49" s="253"/>
      <c r="BC49" s="218"/>
      <c r="BD49" s="714">
        <f>M49+O49+Q49+S49+U49+W49+Y49+AA49+AC49+AE49+AG49+AI49+AK49+AM49+AO49+AQ49+AS49+AU49</f>
        <v>0</v>
      </c>
    </row>
    <row r="50" spans="1:62" ht="14.1">
      <c r="A50" s="1159"/>
      <c r="B50" s="1165"/>
      <c r="C50" s="1086"/>
      <c r="D50" s="1106"/>
      <c r="E50" s="1192"/>
      <c r="F50" s="1302"/>
      <c r="G50" s="463"/>
      <c r="H50" s="464"/>
      <c r="I50" s="449"/>
      <c r="J50" s="450"/>
      <c r="K50" s="451"/>
      <c r="L50" s="465"/>
      <c r="M50" s="212"/>
      <c r="N50" s="212"/>
      <c r="O50" s="212"/>
      <c r="P50" s="358"/>
      <c r="S50" s="466"/>
      <c r="T50" s="1400"/>
      <c r="U50" s="269"/>
      <c r="V50" s="1314"/>
      <c r="W50" s="455"/>
      <c r="X50" s="1215"/>
      <c r="Y50" s="212"/>
      <c r="Z50" s="212"/>
      <c r="AA50" s="455"/>
      <c r="AB50" s="1215"/>
      <c r="AC50" s="500"/>
      <c r="AD50" s="1400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356"/>
      <c r="AX50" s="356"/>
      <c r="AY50" s="356"/>
      <c r="AZ50" s="356"/>
      <c r="BA50" s="1383"/>
      <c r="BB50" s="253"/>
      <c r="BC50" s="218"/>
      <c r="BD50" s="222"/>
    </row>
    <row r="51" spans="1:62" ht="14.1">
      <c r="A51" s="1159"/>
      <c r="B51" s="1165"/>
      <c r="C51" s="1086"/>
      <c r="D51" s="1106"/>
      <c r="E51" s="1192"/>
      <c r="F51" s="1302"/>
      <c r="G51" s="463" t="s">
        <v>107</v>
      </c>
      <c r="H51" s="464" t="s">
        <v>23</v>
      </c>
      <c r="I51" s="449">
        <v>45839</v>
      </c>
      <c r="J51" s="397"/>
      <c r="K51" s="451"/>
      <c r="L51" s="465"/>
      <c r="M51" s="212"/>
      <c r="N51" s="212"/>
      <c r="O51" s="212"/>
      <c r="P51" s="358"/>
      <c r="S51" s="466"/>
      <c r="T51" s="1400"/>
      <c r="U51" s="269"/>
      <c r="V51" s="1314"/>
      <c r="W51" s="455"/>
      <c r="X51" s="1215"/>
      <c r="Y51" s="212"/>
      <c r="Z51" s="212"/>
      <c r="AA51" s="455"/>
      <c r="AB51" s="1215"/>
      <c r="AC51" s="500"/>
      <c r="AD51" s="1400"/>
      <c r="AE51" s="212"/>
      <c r="AF51" s="212"/>
      <c r="AG51" s="212"/>
      <c r="AH51" s="212"/>
      <c r="AI51" s="212"/>
      <c r="AJ51" s="212"/>
      <c r="AK51" s="212"/>
      <c r="AL51" s="212"/>
      <c r="AM51" s="212"/>
      <c r="AN51" s="212"/>
      <c r="AO51" s="212"/>
      <c r="AP51" s="212"/>
      <c r="AQ51" s="212"/>
      <c r="AR51" s="212"/>
      <c r="AS51" s="212"/>
      <c r="AT51" s="212"/>
      <c r="AU51" s="212"/>
      <c r="AV51" s="212"/>
      <c r="AW51" s="356"/>
      <c r="AX51" s="356"/>
      <c r="AY51" s="356"/>
      <c r="AZ51" s="356"/>
      <c r="BA51" s="1383"/>
      <c r="BB51" s="253"/>
      <c r="BC51" s="218"/>
      <c r="BD51" s="222"/>
    </row>
    <row r="52" spans="1:62" ht="14.4" thickBot="1">
      <c r="A52" s="1160"/>
      <c r="B52" s="1166"/>
      <c r="C52" s="1253"/>
      <c r="D52" s="1194"/>
      <c r="E52" s="1193"/>
      <c r="F52" s="1303"/>
      <c r="G52" s="468"/>
      <c r="H52" s="410" t="s">
        <v>25</v>
      </c>
      <c r="I52" s="457">
        <v>45931</v>
      </c>
      <c r="J52" s="458" t="s">
        <v>114</v>
      </c>
      <c r="K52" s="451"/>
      <c r="L52" s="465"/>
      <c r="M52" s="229"/>
      <c r="N52" s="229"/>
      <c r="O52" s="229"/>
      <c r="P52" s="358"/>
      <c r="S52" s="466"/>
      <c r="T52" s="1400"/>
      <c r="U52" s="269"/>
      <c r="V52" s="1314"/>
      <c r="W52" s="455"/>
      <c r="X52" s="1215"/>
      <c r="Y52" s="229"/>
      <c r="Z52" s="229"/>
      <c r="AA52" s="455"/>
      <c r="AB52" s="1215"/>
      <c r="AC52" s="500"/>
      <c r="AD52" s="1400"/>
      <c r="AE52" s="229"/>
      <c r="AF52" s="229"/>
      <c r="AG52" s="229"/>
      <c r="AH52" s="229"/>
      <c r="AI52" s="229"/>
      <c r="AJ52" s="229"/>
      <c r="AK52" s="229"/>
      <c r="AL52" s="229"/>
      <c r="AM52" s="229"/>
      <c r="AN52" s="229"/>
      <c r="AO52" s="229"/>
      <c r="AP52" s="229"/>
      <c r="AQ52" s="229"/>
      <c r="AR52" s="229"/>
      <c r="AS52" s="229"/>
      <c r="AT52" s="229"/>
      <c r="AU52" s="229"/>
      <c r="AV52" s="229"/>
      <c r="AW52" s="356"/>
      <c r="AX52" s="356"/>
      <c r="AY52" s="356"/>
      <c r="AZ52" s="356"/>
      <c r="BA52" s="1383"/>
      <c r="BB52" s="253"/>
      <c r="BC52" s="218"/>
      <c r="BD52" s="222"/>
    </row>
    <row r="53" spans="1:62">
      <c r="A53" s="1159">
        <v>16</v>
      </c>
      <c r="B53" s="1165" t="s">
        <v>115</v>
      </c>
      <c r="C53" s="1086" t="s">
        <v>116</v>
      </c>
      <c r="D53" s="1430">
        <v>1660920</v>
      </c>
      <c r="E53" s="1431" t="s">
        <v>117</v>
      </c>
      <c r="F53" s="1059" t="s">
        <v>21</v>
      </c>
      <c r="G53" s="440"/>
      <c r="H53" s="441" t="s">
        <v>27</v>
      </c>
      <c r="I53" s="442">
        <v>45627</v>
      </c>
      <c r="J53" s="469" t="s">
        <v>104</v>
      </c>
      <c r="K53" s="470">
        <f>D53/4</f>
        <v>415230</v>
      </c>
      <c r="L53" s="1426" t="s">
        <v>118</v>
      </c>
      <c r="M53" s="470">
        <f>K53</f>
        <v>415230</v>
      </c>
      <c r="N53" s="1426" t="s">
        <v>118</v>
      </c>
      <c r="O53" s="470">
        <f>D53/4</f>
        <v>415230</v>
      </c>
      <c r="P53" s="1427" t="s">
        <v>119</v>
      </c>
      <c r="Q53" s="471"/>
      <c r="R53" s="1429"/>
      <c r="S53" s="470">
        <f>D53/4</f>
        <v>415230</v>
      </c>
      <c r="T53" s="1422" t="s">
        <v>120</v>
      </c>
      <c r="U53" s="263"/>
      <c r="V53" s="1289"/>
      <c r="W53" s="472"/>
      <c r="X53" s="1289"/>
      <c r="Y53" s="579"/>
      <c r="Z53" s="1060"/>
      <c r="AA53" s="201"/>
      <c r="AB53" s="201"/>
      <c r="AC53" s="448"/>
      <c r="AD53" s="1289"/>
      <c r="AE53" s="201"/>
      <c r="AF53" s="201"/>
      <c r="AG53" s="201"/>
      <c r="AH53" s="201"/>
      <c r="AI53" s="201"/>
      <c r="AJ53" s="201"/>
      <c r="AK53" s="201"/>
      <c r="AL53" s="201"/>
      <c r="AM53" s="201"/>
      <c r="AN53" s="201"/>
      <c r="AO53" s="201"/>
      <c r="AP53" s="201"/>
      <c r="AQ53" s="201"/>
      <c r="AR53" s="201"/>
      <c r="AS53" s="201"/>
      <c r="AT53" s="201"/>
      <c r="AU53" s="201"/>
      <c r="AV53" s="201"/>
      <c r="AW53" s="596"/>
      <c r="AX53" s="596"/>
      <c r="AY53" s="596"/>
      <c r="AZ53" s="596"/>
      <c r="BA53" s="1385">
        <f>D53</f>
        <v>1660920</v>
      </c>
      <c r="BB53" s="241">
        <f>K53+M53+O53+Q53+S53+U53+W53+Y53+AA53+AC53+AE53+AG53+AI53</f>
        <v>1660920</v>
      </c>
      <c r="BC53" s="267">
        <f>K53+M53+O53+Q53+S53+U53+W53+Y53+AA53+AC53+AE53+AG53+AI53+AK53+AM53+AO53+AQ53+AS53+AU53</f>
        <v>1660920</v>
      </c>
      <c r="BD53" s="268"/>
    </row>
    <row r="54" spans="1:62" ht="14.1">
      <c r="A54" s="1159"/>
      <c r="B54" s="1165"/>
      <c r="C54" s="1086"/>
      <c r="D54" s="1106"/>
      <c r="E54" s="1192"/>
      <c r="F54" s="1059"/>
      <c r="G54" s="379"/>
      <c r="H54" s="421" t="s">
        <v>30</v>
      </c>
      <c r="I54" s="449">
        <v>45717</v>
      </c>
      <c r="J54" s="450" t="s">
        <v>121</v>
      </c>
      <c r="K54" s="389"/>
      <c r="L54" s="1400"/>
      <c r="M54" s="389"/>
      <c r="N54" s="1400"/>
      <c r="O54" s="389"/>
      <c r="P54" s="1428"/>
      <c r="Q54" s="473"/>
      <c r="R54" s="1215"/>
      <c r="S54" s="389"/>
      <c r="T54" s="1400"/>
      <c r="U54" s="269"/>
      <c r="V54" s="1314"/>
      <c r="W54" s="455"/>
      <c r="X54" s="1215"/>
      <c r="Y54" s="665"/>
      <c r="Z54" s="1059"/>
      <c r="AA54" s="212"/>
      <c r="AB54" s="212"/>
      <c r="AC54" s="455"/>
      <c r="AD54" s="1215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356"/>
      <c r="AX54" s="356"/>
      <c r="AY54" s="356"/>
      <c r="AZ54" s="356"/>
      <c r="BA54" s="1383"/>
      <c r="BB54" s="253"/>
      <c r="BC54" s="218"/>
      <c r="BD54" s="220">
        <f>M54+O54+Q54+S54+U54+W54+Y54+AA54+AC54+AE54+AG54+AI54+AK54+AM54+AO54+AQ54+AS54+AU54</f>
        <v>0</v>
      </c>
    </row>
    <row r="55" spans="1:62">
      <c r="A55" s="1159"/>
      <c r="B55" s="1165"/>
      <c r="C55" s="1086"/>
      <c r="D55" s="1106"/>
      <c r="E55" s="1192"/>
      <c r="F55" s="1059"/>
      <c r="G55" s="379"/>
      <c r="H55" s="421" t="s">
        <v>27</v>
      </c>
      <c r="I55" s="449">
        <v>45809</v>
      </c>
      <c r="J55" s="397" t="s">
        <v>122</v>
      </c>
      <c r="K55" s="389"/>
      <c r="L55" s="1400"/>
      <c r="M55" s="389"/>
      <c r="N55" s="1400"/>
      <c r="O55" s="389"/>
      <c r="P55" s="1428"/>
      <c r="Q55" s="473"/>
      <c r="R55" s="1215"/>
      <c r="S55" s="389"/>
      <c r="T55" s="1400"/>
      <c r="U55" s="269"/>
      <c r="V55" s="1314"/>
      <c r="W55" s="455"/>
      <c r="X55" s="1215"/>
      <c r="Y55" s="666"/>
      <c r="Z55" s="1059"/>
      <c r="AA55" s="212"/>
      <c r="AB55" s="212"/>
      <c r="AC55" s="455"/>
      <c r="AD55" s="1215"/>
      <c r="AE55" s="212"/>
      <c r="AF55" s="212"/>
      <c r="AG55" s="212"/>
      <c r="AH55" s="212"/>
      <c r="AI55" s="212"/>
      <c r="AJ55" s="212"/>
      <c r="AK55" s="212"/>
      <c r="AL55" s="212"/>
      <c r="AM55" s="212"/>
      <c r="AN55" s="212"/>
      <c r="AO55" s="212"/>
      <c r="AP55" s="212"/>
      <c r="AQ55" s="212"/>
      <c r="AR55" s="212"/>
      <c r="AS55" s="212"/>
      <c r="AT55" s="212"/>
      <c r="AU55" s="212"/>
      <c r="AV55" s="212"/>
      <c r="AW55" s="356"/>
      <c r="AX55" s="356"/>
      <c r="AY55" s="356"/>
      <c r="AZ55" s="356"/>
      <c r="BA55" s="1383"/>
      <c r="BB55" s="253"/>
      <c r="BC55" s="218"/>
      <c r="BD55" s="222"/>
    </row>
    <row r="56" spans="1:62" ht="14.1" thickBot="1">
      <c r="A56" s="1159"/>
      <c r="B56" s="1165"/>
      <c r="C56" s="1086"/>
      <c r="D56" s="1107"/>
      <c r="E56" s="1295"/>
      <c r="F56" s="1059"/>
      <c r="G56" s="379"/>
      <c r="H56" s="421" t="s">
        <v>123</v>
      </c>
      <c r="I56" s="457">
        <v>45931</v>
      </c>
      <c r="J56" s="458" t="s">
        <v>124</v>
      </c>
      <c r="K56" s="389"/>
      <c r="L56" s="1400"/>
      <c r="M56" s="389"/>
      <c r="N56" s="1400"/>
      <c r="O56" s="389"/>
      <c r="P56" s="1428"/>
      <c r="Q56" s="473"/>
      <c r="R56" s="1215"/>
      <c r="S56" s="389"/>
      <c r="T56" s="1400"/>
      <c r="U56" s="269"/>
      <c r="V56" s="1314"/>
      <c r="W56" s="455"/>
      <c r="X56" s="1215"/>
      <c r="Y56" s="666"/>
      <c r="Z56" s="1061"/>
      <c r="AA56" s="229"/>
      <c r="AB56" s="229"/>
      <c r="AC56" s="455"/>
      <c r="AD56" s="1215"/>
      <c r="AE56" s="229"/>
      <c r="AF56" s="229"/>
      <c r="AG56" s="229"/>
      <c r="AH56" s="229"/>
      <c r="AI56" s="229"/>
      <c r="AJ56" s="229"/>
      <c r="AK56" s="229"/>
      <c r="AL56" s="229"/>
      <c r="AM56" s="229"/>
      <c r="AN56" s="229"/>
      <c r="AO56" s="229"/>
      <c r="AP56" s="229"/>
      <c r="AQ56" s="229"/>
      <c r="AR56" s="229"/>
      <c r="AS56" s="229"/>
      <c r="AT56" s="229"/>
      <c r="AU56" s="229"/>
      <c r="AV56" s="229"/>
      <c r="AW56" s="356"/>
      <c r="AX56" s="356"/>
      <c r="AY56" s="356"/>
      <c r="AZ56" s="356"/>
      <c r="BA56" s="1383"/>
      <c r="BB56" s="253"/>
      <c r="BC56" s="218"/>
      <c r="BD56" s="222"/>
    </row>
    <row r="57" spans="1:62" ht="14.4">
      <c r="A57" s="1158">
        <v>17</v>
      </c>
      <c r="B57" s="1164" t="s">
        <v>125</v>
      </c>
      <c r="C57" s="1085" t="s">
        <v>126</v>
      </c>
      <c r="D57" s="1105">
        <v>570578</v>
      </c>
      <c r="E57" s="1239"/>
      <c r="F57" s="474"/>
      <c r="G57" s="474"/>
      <c r="H57" s="474"/>
      <c r="I57" s="474"/>
      <c r="J57" s="443" t="s">
        <v>127</v>
      </c>
      <c r="K57" s="475"/>
      <c r="L57" s="201"/>
      <c r="M57" s="476"/>
      <c r="N57" s="1236"/>
      <c r="O57" s="201"/>
      <c r="P57" s="266"/>
      <c r="Q57" s="470">
        <v>123363</v>
      </c>
      <c r="R57" s="1422" t="s">
        <v>128</v>
      </c>
      <c r="S57" s="470">
        <v>123363</v>
      </c>
      <c r="T57" s="1422" t="s">
        <v>129</v>
      </c>
      <c r="U57" s="201"/>
      <c r="V57" s="201"/>
      <c r="W57" s="201"/>
      <c r="X57" s="201"/>
      <c r="Y57" s="298">
        <f>S57</f>
        <v>123363</v>
      </c>
      <c r="Z57" s="1402" t="s">
        <v>130</v>
      </c>
      <c r="AA57" s="201"/>
      <c r="AB57" s="201"/>
      <c r="AC57" s="201"/>
      <c r="AD57" s="201"/>
      <c r="AE57" s="595">
        <v>123363</v>
      </c>
      <c r="AF57" s="1399" t="s">
        <v>712</v>
      </c>
      <c r="AG57" s="201"/>
      <c r="AH57" s="201"/>
      <c r="AI57" s="201"/>
      <c r="AJ57" s="201"/>
      <c r="AK57" s="346"/>
      <c r="AL57" s="1424" t="s">
        <v>131</v>
      </c>
      <c r="AM57" s="477"/>
      <c r="AN57" s="461"/>
      <c r="AO57" s="201"/>
      <c r="AP57" s="201"/>
      <c r="AQ57" s="478"/>
      <c r="AR57" s="1420"/>
      <c r="AS57" s="201"/>
      <c r="AT57" s="1420"/>
      <c r="AU57" s="201"/>
      <c r="AV57" s="1420"/>
      <c r="AW57" s="738"/>
      <c r="AX57" s="738"/>
      <c r="AY57" s="738"/>
      <c r="AZ57" s="738"/>
      <c r="BA57" s="1385">
        <f t="shared" ref="BA57" si="0">D57</f>
        <v>570578</v>
      </c>
      <c r="BB57" s="241">
        <f>K57+M57+O57+Q57+S57+U57+W57+Y57+AA57+AC57+AE57+AG57+AI57+AK57+AM57+AO57+AQ57+AS57+AU57</f>
        <v>493452</v>
      </c>
      <c r="BC57" s="267">
        <f>K57+M57+O57+Q57+S57+U57+W57+Y57+AA57+AC57+AE57+AG57+AI57+AK57+AM57+AO57+AQ57+AS57+AU57</f>
        <v>493452</v>
      </c>
      <c r="BD57" s="268"/>
      <c r="BI57"/>
      <c r="BJ57"/>
    </row>
    <row r="58" spans="1:62" ht="14.4">
      <c r="A58" s="1159"/>
      <c r="B58" s="1165"/>
      <c r="C58" s="1086"/>
      <c r="D58" s="1106"/>
      <c r="E58" s="1240"/>
      <c r="F58" s="479"/>
      <c r="G58" s="479"/>
      <c r="H58" s="479"/>
      <c r="I58" s="479"/>
      <c r="J58" s="480" t="s">
        <v>132</v>
      </c>
      <c r="K58" s="481"/>
      <c r="L58" s="212"/>
      <c r="M58" s="482"/>
      <c r="N58" s="1237"/>
      <c r="O58" s="212"/>
      <c r="P58" s="212"/>
      <c r="Q58" s="389"/>
      <c r="R58" s="1400"/>
      <c r="S58" s="389"/>
      <c r="T58" s="1400"/>
      <c r="U58" s="212"/>
      <c r="V58" s="212"/>
      <c r="W58" s="212"/>
      <c r="X58" s="212"/>
      <c r="Y58" s="375"/>
      <c r="Z58" s="1381"/>
      <c r="AA58" s="212"/>
      <c r="AB58" s="212"/>
      <c r="AC58" s="212"/>
      <c r="AD58" s="212"/>
      <c r="AE58" s="375"/>
      <c r="AF58" s="1400"/>
      <c r="AG58" s="212"/>
      <c r="AH58" s="212"/>
      <c r="AI58" s="212"/>
      <c r="AJ58" s="212"/>
      <c r="AK58" s="483">
        <v>77126</v>
      </c>
      <c r="AL58" s="1425"/>
      <c r="AM58" s="484"/>
      <c r="AN58" s="455"/>
      <c r="AO58" s="212"/>
      <c r="AP58" s="212"/>
      <c r="AQ58" s="485"/>
      <c r="AR58" s="1421"/>
      <c r="AS58" s="212"/>
      <c r="AT58" s="1421"/>
      <c r="AU58" s="212"/>
      <c r="AV58" s="1421"/>
      <c r="AW58" s="739"/>
      <c r="AX58" s="739"/>
      <c r="AY58" s="739"/>
      <c r="AZ58" s="739"/>
      <c r="BA58" s="1383"/>
      <c r="BB58" s="253"/>
      <c r="BC58" s="218"/>
      <c r="BD58" s="254">
        <f>M58+O58+Q58+S58+U58+W58+Y58+AA58+AC58+AE58+AG58+AI58+AK58+AM58+AO58+AQ58+AS58+AU58</f>
        <v>77126</v>
      </c>
      <c r="BI58"/>
      <c r="BJ58"/>
    </row>
    <row r="59" spans="1:62" ht="14.4">
      <c r="A59" s="1159"/>
      <c r="B59" s="1165"/>
      <c r="C59" s="1086"/>
      <c r="D59" s="1106"/>
      <c r="E59" s="1240"/>
      <c r="F59" s="479"/>
      <c r="G59" s="479"/>
      <c r="H59" s="479"/>
      <c r="I59" s="479"/>
      <c r="J59" s="486" t="s">
        <v>133</v>
      </c>
      <c r="K59" s="481"/>
      <c r="L59" s="212"/>
      <c r="M59" s="482"/>
      <c r="N59" s="1237"/>
      <c r="O59" s="212"/>
      <c r="P59" s="212"/>
      <c r="Q59" s="389"/>
      <c r="R59" s="1400"/>
      <c r="S59" s="389"/>
      <c r="T59" s="1400"/>
      <c r="U59" s="212"/>
      <c r="V59" s="212"/>
      <c r="W59" s="212"/>
      <c r="X59" s="212"/>
      <c r="Y59" s="389"/>
      <c r="Z59" s="1381"/>
      <c r="AA59" s="212"/>
      <c r="AB59" s="212"/>
      <c r="AC59" s="212"/>
      <c r="AD59" s="212"/>
      <c r="AE59" s="389"/>
      <c r="AF59" s="1400"/>
      <c r="AG59" s="212"/>
      <c r="AH59" s="212"/>
      <c r="AI59" s="212"/>
      <c r="AJ59" s="212"/>
      <c r="AK59" s="487"/>
      <c r="AL59" s="1425"/>
      <c r="AM59" s="455"/>
      <c r="AN59" s="455"/>
      <c r="AO59" s="212"/>
      <c r="AP59" s="212"/>
      <c r="AQ59" s="485"/>
      <c r="AR59" s="1421"/>
      <c r="AS59" s="212"/>
      <c r="AT59" s="1421"/>
      <c r="AU59" s="212"/>
      <c r="AV59" s="1421"/>
      <c r="AW59" s="739"/>
      <c r="AX59" s="739"/>
      <c r="AY59" s="739"/>
      <c r="AZ59" s="739"/>
      <c r="BA59" s="1383"/>
      <c r="BB59" s="253"/>
      <c r="BC59" s="218"/>
      <c r="BD59" s="222"/>
      <c r="BI59"/>
      <c r="BJ59"/>
    </row>
    <row r="60" spans="1:62" ht="14.7" thickBot="1">
      <c r="A60" s="1159"/>
      <c r="B60" s="1165"/>
      <c r="C60" s="1086"/>
      <c r="D60" s="1107"/>
      <c r="E60" s="1241"/>
      <c r="F60" s="488"/>
      <c r="G60" s="488"/>
      <c r="H60" s="488"/>
      <c r="I60" s="488" t="s">
        <v>134</v>
      </c>
      <c r="J60" s="229"/>
      <c r="K60" s="489"/>
      <c r="L60" s="229"/>
      <c r="M60" s="482"/>
      <c r="N60" s="1237"/>
      <c r="O60" s="229"/>
      <c r="P60" s="229"/>
      <c r="Q60" s="389"/>
      <c r="R60" s="1400"/>
      <c r="S60" s="389"/>
      <c r="T60" s="1400"/>
      <c r="U60" s="229"/>
      <c r="V60" s="229"/>
      <c r="W60" s="229"/>
      <c r="X60" s="229"/>
      <c r="Y60" s="389"/>
      <c r="Z60" s="1382"/>
      <c r="AA60" s="229"/>
      <c r="AB60" s="229"/>
      <c r="AC60" s="229"/>
      <c r="AD60" s="229"/>
      <c r="AE60" s="389"/>
      <c r="AF60" s="1423"/>
      <c r="AG60" s="229"/>
      <c r="AH60" s="229"/>
      <c r="AI60" s="229"/>
      <c r="AJ60" s="229"/>
      <c r="AK60" s="487"/>
      <c r="AL60" s="1425"/>
      <c r="AM60" s="455"/>
      <c r="AN60" s="455"/>
      <c r="AO60" s="229"/>
      <c r="AP60" s="229"/>
      <c r="AQ60" s="485"/>
      <c r="AR60" s="1421"/>
      <c r="AS60" s="229"/>
      <c r="AT60" s="1421"/>
      <c r="AU60" s="229"/>
      <c r="AV60" s="1421"/>
      <c r="AW60" s="739"/>
      <c r="AX60" s="739"/>
      <c r="AY60" s="739"/>
      <c r="AZ60" s="739"/>
      <c r="BA60" s="1383"/>
      <c r="BB60" s="253"/>
      <c r="BC60" s="218"/>
      <c r="BD60" s="222"/>
      <c r="BE60"/>
      <c r="BI60"/>
      <c r="BJ60"/>
    </row>
    <row r="61" spans="1:62" ht="14.4">
      <c r="A61" s="1148">
        <v>18</v>
      </c>
      <c r="B61" s="1152" t="s">
        <v>135</v>
      </c>
      <c r="C61" s="1226" t="s">
        <v>49</v>
      </c>
      <c r="D61" s="1108">
        <f>86953+86953</f>
        <v>173906</v>
      </c>
      <c r="E61" s="1238" t="s">
        <v>136</v>
      </c>
      <c r="F61" s="1289" t="s">
        <v>21</v>
      </c>
      <c r="G61" s="1320" t="s">
        <v>103</v>
      </c>
      <c r="H61" s="490" t="s">
        <v>23</v>
      </c>
      <c r="I61" s="491">
        <v>45449</v>
      </c>
      <c r="J61" s="492" t="s">
        <v>137</v>
      </c>
      <c r="K61" s="493"/>
      <c r="L61" s="492"/>
      <c r="M61" s="492"/>
      <c r="N61" s="494"/>
      <c r="O61" s="495">
        <f>D61/2</f>
        <v>86953</v>
      </c>
      <c r="P61" s="1401" t="s">
        <v>138</v>
      </c>
      <c r="Q61" s="492"/>
      <c r="R61" s="492"/>
      <c r="S61" s="492"/>
      <c r="T61" s="494"/>
      <c r="U61" s="296"/>
      <c r="V61" s="1293"/>
      <c r="W61" s="496"/>
      <c r="X61" s="492"/>
      <c r="Y61" s="298">
        <f>D61/2</f>
        <v>86953</v>
      </c>
      <c r="Z61" s="1402" t="s">
        <v>139</v>
      </c>
      <c r="AA61" s="492"/>
      <c r="AB61" s="492"/>
      <c r="AC61" s="346"/>
      <c r="AD61" s="346"/>
      <c r="AE61" s="492"/>
      <c r="AF61" s="492"/>
      <c r="AG61" s="492"/>
      <c r="AH61" s="492"/>
      <c r="AI61" s="492"/>
      <c r="AJ61" s="492"/>
      <c r="AK61" s="492"/>
      <c r="AL61" s="492"/>
      <c r="AM61" s="492"/>
      <c r="AN61" s="492"/>
      <c r="AO61" s="492"/>
      <c r="AP61" s="492"/>
      <c r="AQ61" s="492"/>
      <c r="AR61" s="492"/>
      <c r="AS61" s="492"/>
      <c r="AT61" s="492"/>
      <c r="AU61" s="492"/>
      <c r="AV61" s="492"/>
      <c r="AW61" s="346"/>
      <c r="AX61" s="346"/>
      <c r="AY61" s="346"/>
      <c r="AZ61" s="346"/>
      <c r="BA61" s="1385">
        <f t="shared" ref="BA61" si="1">D61</f>
        <v>173906</v>
      </c>
      <c r="BB61" s="241">
        <f>K61+M61+O61+Q61+S61+U61+W61+Y61+AA61+AC61+AE61+AG61+AI61+AK61+AM61+AO61+AQ61+AS61+AU61</f>
        <v>173906</v>
      </c>
      <c r="BC61" s="267">
        <f>K61+M61+O61+Q61+S61+U61+W61+Y61+AA61+AC61+AE61+AG61+AI61+AK61+AM61+AO61+AQ61+AS61+AU61</f>
        <v>173906</v>
      </c>
      <c r="BD61" s="268"/>
      <c r="BE61"/>
    </row>
    <row r="62" spans="1:62" ht="14.4">
      <c r="A62" s="1149"/>
      <c r="B62" s="1153"/>
      <c r="C62" s="1227"/>
      <c r="D62" s="1109"/>
      <c r="E62" s="1235"/>
      <c r="F62" s="1215"/>
      <c r="G62" s="1314"/>
      <c r="H62" s="497" t="s">
        <v>25</v>
      </c>
      <c r="I62" s="498">
        <v>45901</v>
      </c>
      <c r="J62" s="189" t="s">
        <v>140</v>
      </c>
      <c r="K62" s="499"/>
      <c r="L62" s="188"/>
      <c r="M62" s="188"/>
      <c r="N62" s="188"/>
      <c r="O62" s="500"/>
      <c r="P62" s="1400"/>
      <c r="Q62" s="188"/>
      <c r="R62" s="188"/>
      <c r="S62" s="188"/>
      <c r="T62" s="501"/>
      <c r="U62" s="502"/>
      <c r="V62" s="1293"/>
      <c r="W62" s="503"/>
      <c r="X62" s="188"/>
      <c r="Y62" s="304"/>
      <c r="Z62" s="1381"/>
      <c r="AA62" s="188"/>
      <c r="AB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BA62" s="1383"/>
      <c r="BB62" s="253"/>
      <c r="BC62" s="218"/>
      <c r="BD62" s="220">
        <f>M62+O62+Q62+S62+U62+W62+Y62+AA62+AC62+AE62+AG62+AI62+AK62+AM62+AO62+AQ62+AS62+AU62</f>
        <v>0</v>
      </c>
      <c r="BE62"/>
    </row>
    <row r="63" spans="1:62" ht="14.4">
      <c r="A63" s="1149"/>
      <c r="B63" s="1153"/>
      <c r="C63" s="1227"/>
      <c r="D63" s="1109"/>
      <c r="E63" s="1235"/>
      <c r="F63" s="1215"/>
      <c r="G63" s="1314" t="s">
        <v>107</v>
      </c>
      <c r="H63" s="497" t="s">
        <v>23</v>
      </c>
      <c r="I63" s="498">
        <v>45992</v>
      </c>
      <c r="J63" s="188"/>
      <c r="K63" s="499"/>
      <c r="L63" s="188"/>
      <c r="M63" s="188"/>
      <c r="N63" s="188"/>
      <c r="O63" s="500"/>
      <c r="P63" s="1400"/>
      <c r="Q63" s="188"/>
      <c r="R63" s="188"/>
      <c r="S63" s="188"/>
      <c r="T63" s="501"/>
      <c r="U63" s="504"/>
      <c r="V63" s="1293"/>
      <c r="W63" s="503"/>
      <c r="X63" s="188"/>
      <c r="Y63" s="274"/>
      <c r="Z63" s="1381"/>
      <c r="AA63" s="188"/>
      <c r="AB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BA63" s="1383"/>
      <c r="BB63" s="253"/>
      <c r="BC63" s="218"/>
      <c r="BD63" s="222"/>
      <c r="BE63"/>
    </row>
    <row r="64" spans="1:62" ht="14.7" thickBot="1">
      <c r="A64" s="1149"/>
      <c r="B64" s="1153"/>
      <c r="C64" s="1227"/>
      <c r="D64" s="1109"/>
      <c r="E64" s="1235"/>
      <c r="F64" s="1215"/>
      <c r="G64" s="1314"/>
      <c r="H64" s="373" t="s">
        <v>25</v>
      </c>
      <c r="I64" s="505">
        <v>46082</v>
      </c>
      <c r="J64" s="506" t="s">
        <v>141</v>
      </c>
      <c r="K64" s="507"/>
      <c r="L64" s="198"/>
      <c r="M64" s="198"/>
      <c r="N64" s="198"/>
      <c r="O64" s="500"/>
      <c r="P64" s="1400"/>
      <c r="Q64" s="198"/>
      <c r="R64" s="198"/>
      <c r="S64" s="198"/>
      <c r="T64" s="508"/>
      <c r="U64" s="504"/>
      <c r="V64" s="1293"/>
      <c r="W64" s="509"/>
      <c r="X64" s="198"/>
      <c r="Y64" s="318"/>
      <c r="Z64" s="1382"/>
      <c r="AA64" s="198"/>
      <c r="AB64" s="198"/>
      <c r="AE64" s="198"/>
      <c r="AF64" s="198"/>
      <c r="AG64" s="198"/>
      <c r="AH64" s="198"/>
      <c r="AI64" s="198"/>
      <c r="AJ64" s="198"/>
      <c r="AK64" s="198"/>
      <c r="AL64" s="198"/>
      <c r="AM64" s="198"/>
      <c r="AN64" s="198"/>
      <c r="AO64" s="198"/>
      <c r="AP64" s="198"/>
      <c r="AQ64" s="198"/>
      <c r="AR64" s="198"/>
      <c r="AS64" s="198"/>
      <c r="AT64" s="198"/>
      <c r="AU64" s="198"/>
      <c r="AV64" s="198"/>
      <c r="BA64" s="1383"/>
      <c r="BB64" s="253"/>
      <c r="BC64" s="218"/>
      <c r="BD64" s="222"/>
      <c r="BE64"/>
    </row>
    <row r="65" spans="1:57" ht="14.4">
      <c r="A65" s="1148">
        <v>19</v>
      </c>
      <c r="B65" s="1223" t="s">
        <v>142</v>
      </c>
      <c r="C65" s="1228" t="s">
        <v>143</v>
      </c>
      <c r="D65" s="1097">
        <v>171015</v>
      </c>
      <c r="E65" s="1242" t="s">
        <v>144</v>
      </c>
      <c r="F65" s="1290" t="s">
        <v>21</v>
      </c>
      <c r="G65" s="1089" t="s">
        <v>145</v>
      </c>
      <c r="H65" s="510" t="s">
        <v>23</v>
      </c>
      <c r="I65" s="491">
        <v>45449</v>
      </c>
      <c r="J65" s="492"/>
      <c r="K65" s="511"/>
      <c r="L65" s="492"/>
      <c r="M65" s="512"/>
      <c r="N65" s="513"/>
      <c r="O65" s="514">
        <f>D65</f>
        <v>171015</v>
      </c>
      <c r="P65" s="1401" t="s">
        <v>146</v>
      </c>
      <c r="Q65" s="512"/>
      <c r="R65" s="512"/>
      <c r="S65" s="512"/>
      <c r="T65" s="512"/>
      <c r="U65" s="515"/>
      <c r="V65" s="515"/>
      <c r="W65" s="512"/>
      <c r="X65" s="512"/>
      <c r="Y65" s="512"/>
      <c r="Z65" s="512"/>
      <c r="AA65" s="512"/>
      <c r="AB65" s="512"/>
      <c r="AC65" s="512"/>
      <c r="AD65" s="512"/>
      <c r="AE65" s="512"/>
      <c r="AF65" s="512"/>
      <c r="AG65" s="512"/>
      <c r="AH65" s="512"/>
      <c r="AI65" s="512"/>
      <c r="AJ65" s="512"/>
      <c r="AK65" s="512"/>
      <c r="AL65" s="512"/>
      <c r="AM65" s="512"/>
      <c r="AN65" s="512"/>
      <c r="AO65" s="512"/>
      <c r="AP65" s="512"/>
      <c r="AQ65" s="512"/>
      <c r="AR65" s="512"/>
      <c r="AS65" s="512"/>
      <c r="AT65" s="512"/>
      <c r="AU65" s="512"/>
      <c r="AV65" s="512"/>
      <c r="AW65" s="753"/>
      <c r="AX65" s="753"/>
      <c r="AY65" s="753"/>
      <c r="AZ65" s="753"/>
      <c r="BA65" s="1385">
        <f t="shared" ref="BA65" si="2">D65</f>
        <v>171015</v>
      </c>
      <c r="BB65" s="241">
        <f>K65+M65+O65+Q65+S65+U65+W65+Y65+AA65+AC65+AE65+AG65+AI65+AK65+AM65+AO65+AQ65+AS65+AU65</f>
        <v>171015</v>
      </c>
      <c r="BC65" s="267">
        <f>K65+M65+O65+Q65+S65+U65+W65+Y65+AA65+AC65+AE65+AG65+AI65+AK65+AM65+AO65+AQ65+AS65+AU65</f>
        <v>171015</v>
      </c>
      <c r="BD65" s="516"/>
      <c r="BE65"/>
    </row>
    <row r="66" spans="1:57" ht="14.4">
      <c r="A66" s="1149"/>
      <c r="B66" s="1224"/>
      <c r="C66" s="1229"/>
      <c r="D66" s="1098"/>
      <c r="E66" s="1243"/>
      <c r="F66" s="1243"/>
      <c r="G66" s="1090"/>
      <c r="H66" s="517" t="s">
        <v>25</v>
      </c>
      <c r="I66" s="498">
        <v>45901</v>
      </c>
      <c r="J66" s="286" t="s">
        <v>147</v>
      </c>
      <c r="K66" s="499"/>
      <c r="L66" s="188"/>
      <c r="M66" s="188"/>
      <c r="N66" s="188"/>
      <c r="O66" s="500"/>
      <c r="P66" s="1400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BA66" s="1383"/>
      <c r="BB66" s="253"/>
      <c r="BC66" s="218"/>
      <c r="BD66" s="220">
        <f>M66+O66+Q66+S66+U66+W66+Y66+AA66+AC66+AE66+AG66+AI66+AK66+AM66+AO66+AQ66+AS66+AU66</f>
        <v>0</v>
      </c>
      <c r="BE66"/>
    </row>
    <row r="67" spans="1:57">
      <c r="A67" s="1149"/>
      <c r="B67" s="1224"/>
      <c r="C67" s="1229"/>
      <c r="D67" s="1098"/>
      <c r="E67" s="1243"/>
      <c r="F67" s="1243"/>
      <c r="G67" s="1090"/>
      <c r="H67" s="517" t="s">
        <v>23</v>
      </c>
      <c r="I67" s="498">
        <v>45992</v>
      </c>
      <c r="J67" s="518" t="s">
        <v>148</v>
      </c>
      <c r="K67" s="499"/>
      <c r="L67" s="188"/>
      <c r="M67" s="188"/>
      <c r="N67" s="188"/>
      <c r="O67" s="500"/>
      <c r="P67" s="1400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BA67" s="1383"/>
      <c r="BB67" s="253"/>
      <c r="BC67" s="218"/>
      <c r="BD67" s="222"/>
    </row>
    <row r="68" spans="1:57" ht="14.1" thickBot="1">
      <c r="A68" s="1149"/>
      <c r="B68" s="1225"/>
      <c r="C68" s="1229"/>
      <c r="D68" s="1099"/>
      <c r="E68" s="1244"/>
      <c r="F68" s="1244"/>
      <c r="G68" s="1091"/>
      <c r="H68" s="519" t="s">
        <v>25</v>
      </c>
      <c r="I68" s="505">
        <v>46082</v>
      </c>
      <c r="J68" s="520" t="s">
        <v>149</v>
      </c>
      <c r="K68" s="507"/>
      <c r="L68" s="198"/>
      <c r="M68" s="198"/>
      <c r="N68" s="198"/>
      <c r="O68" s="500"/>
      <c r="P68" s="1400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  <c r="AP68" s="198"/>
      <c r="AQ68" s="198"/>
      <c r="AR68" s="198"/>
      <c r="AS68" s="198"/>
      <c r="AT68" s="198"/>
      <c r="AU68" s="198"/>
      <c r="AV68" s="198"/>
      <c r="BA68" s="1383"/>
      <c r="BB68" s="253"/>
      <c r="BC68" s="218"/>
      <c r="BD68" s="222"/>
    </row>
    <row r="69" spans="1:57">
      <c r="A69" s="1148">
        <v>20</v>
      </c>
      <c r="B69" s="1152" t="s">
        <v>150</v>
      </c>
      <c r="C69" s="1226" t="s">
        <v>49</v>
      </c>
      <c r="D69" s="1108">
        <v>475000</v>
      </c>
      <c r="E69" s="1234" t="s">
        <v>151</v>
      </c>
      <c r="F69" s="1207" t="s">
        <v>21</v>
      </c>
      <c r="G69" s="1238" t="s">
        <v>145</v>
      </c>
      <c r="H69" s="521" t="s">
        <v>23</v>
      </c>
      <c r="I69" s="522">
        <v>45354</v>
      </c>
      <c r="J69" s="523" t="s">
        <v>152</v>
      </c>
      <c r="K69" s="493"/>
      <c r="L69" s="492"/>
      <c r="M69" s="512"/>
      <c r="N69" s="494"/>
      <c r="O69" s="495">
        <f>D69</f>
        <v>475000</v>
      </c>
      <c r="P69" s="1413" t="s">
        <v>153</v>
      </c>
      <c r="Q69" s="524"/>
      <c r="R69" s="524"/>
      <c r="S69" s="524"/>
      <c r="T69" s="524"/>
      <c r="U69" s="524"/>
      <c r="V69" s="524"/>
      <c r="W69" s="524"/>
      <c r="X69" s="524"/>
      <c r="Y69" s="524"/>
      <c r="Z69" s="524"/>
      <c r="AA69" s="524"/>
      <c r="AB69" s="524"/>
      <c r="AC69" s="524"/>
      <c r="AD69" s="524"/>
      <c r="AE69" s="524"/>
      <c r="AF69" s="524"/>
      <c r="AG69" s="524"/>
      <c r="AH69" s="524"/>
      <c r="AI69" s="524"/>
      <c r="AJ69" s="524"/>
      <c r="AK69" s="524"/>
      <c r="AL69" s="524"/>
      <c r="AM69" s="524"/>
      <c r="AN69" s="524"/>
      <c r="AO69" s="524"/>
      <c r="AP69" s="524"/>
      <c r="AQ69" s="524"/>
      <c r="AR69" s="524"/>
      <c r="AS69" s="524"/>
      <c r="AT69" s="524"/>
      <c r="AU69" s="524"/>
      <c r="AV69" s="524"/>
      <c r="AW69" s="753"/>
      <c r="AX69" s="753"/>
      <c r="AY69" s="753"/>
      <c r="AZ69" s="753"/>
      <c r="BA69" s="1385">
        <f t="shared" ref="BA69" si="3">D69</f>
        <v>475000</v>
      </c>
      <c r="BB69" s="241">
        <f>K69+M69+O69+Q69+S69+U69+W69+Y69+AA69+AC69+AE69+AG69+AI69+AK69+AM69+AO69+AQ69+AS69+AU69</f>
        <v>475000</v>
      </c>
      <c r="BC69" s="267">
        <f>K69+M69+O69+Q69+S69+U69+W69+Y69+AA69+AC69+AE69+AG69+AI69+AK69+AM69+AO69+AQ69+AS69+AU69</f>
        <v>475000</v>
      </c>
      <c r="BD69" s="268"/>
    </row>
    <row r="70" spans="1:57" ht="14.1">
      <c r="A70" s="1149"/>
      <c r="B70" s="1153"/>
      <c r="C70" s="1227"/>
      <c r="D70" s="1109"/>
      <c r="E70" s="1235"/>
      <c r="F70" s="1208"/>
      <c r="G70" s="1235"/>
      <c r="H70" s="517" t="s">
        <v>25</v>
      </c>
      <c r="I70" s="525">
        <v>45809</v>
      </c>
      <c r="J70" s="286"/>
      <c r="K70" s="499"/>
      <c r="L70" s="188"/>
      <c r="M70" s="188"/>
      <c r="N70" s="501"/>
      <c r="O70" s="526"/>
      <c r="P70" s="1414"/>
      <c r="Q70" s="503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BA70" s="1383"/>
      <c r="BB70" s="253"/>
      <c r="BC70" s="218"/>
      <c r="BD70" s="220">
        <f>M70+O70+Q70+S70+U70+W70+Y70+AA70+AC70+AE70+AG70+AI70+AK70+AM70+AO70+AQ70+AS70+AU70</f>
        <v>0</v>
      </c>
    </row>
    <row r="71" spans="1:57">
      <c r="A71" s="1149"/>
      <c r="B71" s="1153"/>
      <c r="C71" s="1227"/>
      <c r="D71" s="1109"/>
      <c r="E71" s="1235"/>
      <c r="F71" s="1208"/>
      <c r="G71" s="1235"/>
      <c r="H71" s="517" t="s">
        <v>27</v>
      </c>
      <c r="I71" s="498">
        <v>45901</v>
      </c>
      <c r="J71" s="518" t="s">
        <v>154</v>
      </c>
      <c r="K71" s="507"/>
      <c r="L71" s="198"/>
      <c r="M71" s="198"/>
      <c r="N71" s="508"/>
      <c r="O71" s="526"/>
      <c r="P71" s="1414"/>
      <c r="Q71" s="509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BA71" s="1383"/>
      <c r="BB71" s="253"/>
      <c r="BC71" s="218"/>
      <c r="BD71" s="222"/>
    </row>
    <row r="72" spans="1:57" ht="14.1" thickBot="1">
      <c r="A72" s="1149"/>
      <c r="B72" s="1153"/>
      <c r="C72" s="1227"/>
      <c r="D72" s="1109"/>
      <c r="E72" s="1235"/>
      <c r="F72" s="1208"/>
      <c r="G72" s="1235"/>
      <c r="H72" s="519" t="s">
        <v>30</v>
      </c>
      <c r="I72" s="505">
        <v>46357</v>
      </c>
      <c r="J72" s="520" t="s">
        <v>149</v>
      </c>
      <c r="K72" s="507"/>
      <c r="L72" s="1416">
        <f>SUM(L2:L71)</f>
        <v>0</v>
      </c>
      <c r="M72" s="198"/>
      <c r="N72" s="508"/>
      <c r="O72" s="527"/>
      <c r="P72" s="1415"/>
      <c r="Q72" s="509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  <c r="AT72" s="198"/>
      <c r="AU72" s="198"/>
      <c r="AV72" s="198"/>
      <c r="BA72" s="1383"/>
      <c r="BB72" s="253"/>
      <c r="BC72" s="218"/>
      <c r="BD72" s="222"/>
    </row>
    <row r="73" spans="1:57">
      <c r="A73" s="1148">
        <v>21</v>
      </c>
      <c r="B73" s="1152" t="s">
        <v>155</v>
      </c>
      <c r="C73" s="1226" t="s">
        <v>20</v>
      </c>
      <c r="D73" s="1108">
        <v>1386872</v>
      </c>
      <c r="E73" s="1234" t="s">
        <v>156</v>
      </c>
      <c r="F73" s="1207" t="s">
        <v>21</v>
      </c>
      <c r="G73" s="1238" t="s">
        <v>103</v>
      </c>
      <c r="H73" s="521" t="s">
        <v>23</v>
      </c>
      <c r="I73" s="522">
        <v>45828</v>
      </c>
      <c r="J73" s="523" t="s">
        <v>157</v>
      </c>
      <c r="K73" s="493"/>
      <c r="L73" s="1417"/>
      <c r="M73" s="492"/>
      <c r="N73" s="494"/>
      <c r="O73" s="528"/>
      <c r="P73" s="1292"/>
      <c r="Q73" s="496"/>
      <c r="R73" s="492"/>
      <c r="S73" s="530">
        <f>D73/2</f>
        <v>693436</v>
      </c>
      <c r="T73" s="1399" t="s">
        <v>158</v>
      </c>
      <c r="U73" s="492"/>
      <c r="V73" s="492"/>
      <c r="W73" s="492"/>
      <c r="X73" s="492"/>
      <c r="Y73" s="706">
        <v>693436</v>
      </c>
      <c r="Z73" s="1410" t="s">
        <v>160</v>
      </c>
      <c r="AA73" s="188"/>
      <c r="AB73" s="188"/>
      <c r="AC73" s="496"/>
      <c r="AD73" s="492"/>
      <c r="AE73" s="492"/>
      <c r="AF73" s="492"/>
      <c r="AG73" s="492"/>
      <c r="AH73" s="492"/>
      <c r="AI73" s="492"/>
      <c r="AJ73" s="492"/>
      <c r="AK73" s="492"/>
      <c r="AL73" s="492"/>
      <c r="AM73" s="492"/>
      <c r="AN73" s="492"/>
      <c r="AO73" s="492"/>
      <c r="AP73" s="492"/>
      <c r="AQ73" s="492"/>
      <c r="AR73" s="492"/>
      <c r="AS73" s="492"/>
      <c r="AT73" s="492"/>
      <c r="AU73" s="492"/>
      <c r="AV73" s="492"/>
      <c r="AW73" s="346"/>
      <c r="AX73" s="346"/>
      <c r="AY73" s="346"/>
      <c r="AZ73" s="346"/>
      <c r="BA73" s="1385">
        <f>D73</f>
        <v>1386872</v>
      </c>
      <c r="BB73" s="241">
        <f>M73+O73+Q73+S73+U73+W73+Y73+AA73+AC73+AE73+AG73+AI73+AK73+AM73+AO73+AQ73+AS73+AU73</f>
        <v>1386872</v>
      </c>
      <c r="BC73" s="267">
        <f>M73+O73+Q73+S73+U73+W73+Y73+AA73+AC73+AE73+AG73+AI73+AK73+AM73+AO73+AQ73+AS73+AU73</f>
        <v>1386872</v>
      </c>
      <c r="BD73" s="268"/>
    </row>
    <row r="74" spans="1:57" ht="41.7">
      <c r="A74" s="1149"/>
      <c r="B74" s="1153"/>
      <c r="C74" s="1227"/>
      <c r="D74" s="1109"/>
      <c r="E74" s="1235"/>
      <c r="F74" s="1208"/>
      <c r="G74" s="1235"/>
      <c r="H74" s="517" t="s">
        <v>25</v>
      </c>
      <c r="I74" s="525">
        <v>45901</v>
      </c>
      <c r="J74" s="286"/>
      <c r="K74" s="499"/>
      <c r="L74" s="1418"/>
      <c r="M74" s="188"/>
      <c r="N74" s="501"/>
      <c r="O74" s="504"/>
      <c r="P74" s="1293"/>
      <c r="Q74" s="531"/>
      <c r="R74" s="532" t="s">
        <v>159</v>
      </c>
      <c r="S74" s="500"/>
      <c r="T74" s="1400"/>
      <c r="U74" s="188"/>
      <c r="V74" s="188"/>
      <c r="W74" s="188"/>
      <c r="X74" s="501"/>
      <c r="Y74" s="598"/>
      <c r="Z74" s="1411"/>
      <c r="AA74" s="188"/>
      <c r="AB74" s="188"/>
      <c r="AC74" s="503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BA74" s="1383"/>
      <c r="BB74" s="253"/>
      <c r="BC74" s="218"/>
      <c r="BD74" s="254">
        <f>M74+O74+Q74+S74+U74+W74+Y74+AA74+AC74+AE74+AG74+AI74+AK74+AM74+AO74+AQ74+AS74+AU74</f>
        <v>0</v>
      </c>
    </row>
    <row r="75" spans="1:57">
      <c r="A75" s="1149"/>
      <c r="B75" s="1153"/>
      <c r="C75" s="1227"/>
      <c r="D75" s="1109"/>
      <c r="E75" s="1235"/>
      <c r="F75" s="1208"/>
      <c r="G75" s="1235"/>
      <c r="H75" s="517" t="s">
        <v>27</v>
      </c>
      <c r="I75" s="498">
        <v>45992</v>
      </c>
      <c r="J75" s="518"/>
      <c r="K75" s="499"/>
      <c r="L75" s="1419"/>
      <c r="M75" s="188"/>
      <c r="N75" s="501"/>
      <c r="O75" s="504"/>
      <c r="P75" s="1293"/>
      <c r="Q75" s="503"/>
      <c r="R75" s="188"/>
      <c r="S75" s="500"/>
      <c r="T75" s="1400"/>
      <c r="U75" s="188"/>
      <c r="V75" s="188"/>
      <c r="W75" s="188"/>
      <c r="X75" s="501"/>
      <c r="Y75" s="290"/>
      <c r="Z75" s="1411"/>
      <c r="AA75" s="188"/>
      <c r="AB75" s="188"/>
      <c r="AC75" s="503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BA75" s="1383"/>
      <c r="BB75" s="253"/>
      <c r="BC75" s="218"/>
      <c r="BD75" s="222"/>
    </row>
    <row r="76" spans="1:57" ht="14.1" thickBot="1">
      <c r="A76" s="1149"/>
      <c r="B76" s="1153"/>
      <c r="C76" s="1227"/>
      <c r="D76" s="1109"/>
      <c r="E76" s="1235"/>
      <c r="F76" s="1208"/>
      <c r="G76" s="1235"/>
      <c r="H76" s="519" t="s">
        <v>30</v>
      </c>
      <c r="I76" s="505">
        <v>46082</v>
      </c>
      <c r="J76" s="520"/>
      <c r="K76" s="507"/>
      <c r="L76" s="386"/>
      <c r="M76" s="386"/>
      <c r="N76" s="533"/>
      <c r="O76" s="534"/>
      <c r="P76" s="1294"/>
      <c r="Q76" s="535"/>
      <c r="R76" s="386"/>
      <c r="S76" s="500"/>
      <c r="T76" s="1400"/>
      <c r="U76" s="386"/>
      <c r="V76" s="386"/>
      <c r="W76" s="386"/>
      <c r="X76" s="533"/>
      <c r="Y76" s="527"/>
      <c r="Z76" s="1412"/>
      <c r="AA76" s="188"/>
      <c r="AB76" s="188"/>
      <c r="AC76" s="535"/>
      <c r="AD76" s="386"/>
      <c r="AE76" s="386"/>
      <c r="AF76" s="386"/>
      <c r="AG76" s="386"/>
      <c r="AH76" s="386"/>
      <c r="AI76" s="386"/>
      <c r="AJ76" s="386"/>
      <c r="AK76" s="386"/>
      <c r="AL76" s="386"/>
      <c r="AM76" s="386"/>
      <c r="AN76" s="386"/>
      <c r="AO76" s="386"/>
      <c r="AP76" s="386"/>
      <c r="AQ76" s="386"/>
      <c r="AR76" s="386"/>
      <c r="AS76" s="386"/>
      <c r="AT76" s="386"/>
      <c r="AU76" s="386"/>
      <c r="AV76" s="386"/>
      <c r="AW76" s="661"/>
      <c r="AX76" s="661"/>
      <c r="AY76" s="661"/>
      <c r="AZ76" s="661"/>
      <c r="BA76" s="1383"/>
      <c r="BB76" s="253"/>
      <c r="BC76" s="218"/>
      <c r="BD76" s="222"/>
    </row>
    <row r="77" spans="1:57">
      <c r="A77" s="1148">
        <v>22</v>
      </c>
      <c r="B77" s="1226" t="s">
        <v>161</v>
      </c>
      <c r="C77" s="1226" t="s">
        <v>49</v>
      </c>
      <c r="D77" s="1108">
        <v>63586</v>
      </c>
      <c r="E77" s="1234" t="s">
        <v>162</v>
      </c>
      <c r="F77" s="1112" t="s">
        <v>21</v>
      </c>
      <c r="G77" s="1239" t="s">
        <v>145</v>
      </c>
      <c r="H77" s="536" t="s">
        <v>23</v>
      </c>
      <c r="I77" s="491">
        <v>45809</v>
      </c>
      <c r="J77" s="537" t="s">
        <v>163</v>
      </c>
      <c r="K77" s="493"/>
      <c r="L77" s="538"/>
      <c r="M77" s="538"/>
      <c r="N77" s="539"/>
      <c r="O77" s="540"/>
      <c r="P77" s="529"/>
      <c r="Q77" s="541">
        <v>63586</v>
      </c>
      <c r="R77" s="1408" t="s">
        <v>164</v>
      </c>
      <c r="S77" s="542"/>
      <c r="T77" s="439"/>
      <c r="U77" s="543"/>
      <c r="V77" s="538"/>
      <c r="W77" s="538"/>
      <c r="X77" s="538"/>
      <c r="Y77" s="544"/>
      <c r="Z77" s="662"/>
      <c r="AA77" s="188"/>
      <c r="AB77" s="188"/>
      <c r="AC77" s="543"/>
      <c r="AD77" s="538"/>
      <c r="AE77" s="538"/>
      <c r="AF77" s="538"/>
      <c r="AG77" s="538"/>
      <c r="AH77" s="538"/>
      <c r="AI77" s="538"/>
      <c r="AJ77" s="538"/>
      <c r="AK77" s="538"/>
      <c r="AL77" s="538"/>
      <c r="AM77" s="538"/>
      <c r="AN77" s="538"/>
      <c r="AO77" s="538"/>
      <c r="AP77" s="538"/>
      <c r="AQ77" s="538"/>
      <c r="AR77" s="538"/>
      <c r="AS77" s="538"/>
      <c r="AT77" s="538"/>
      <c r="AU77" s="538"/>
      <c r="AV77" s="538"/>
      <c r="AW77" s="754"/>
      <c r="AX77" s="754"/>
      <c r="AY77" s="754"/>
      <c r="AZ77" s="754"/>
      <c r="BA77" s="1385">
        <f t="shared" ref="BA77" si="4">D77</f>
        <v>63586</v>
      </c>
      <c r="BB77" s="241">
        <f>M77+O77+Q77+S77+U77+W77+Y77+AA77+AC77+AE77+AG77+AI77+AK77+AM77+AO77+AQ77+AS77+AU77</f>
        <v>63586</v>
      </c>
      <c r="BC77" s="267">
        <f>M77+O77+Q77+S77+U77+W77+Y77+AA77+AC77+AE77+AG77+AI77+AK77+AM77+AO77+AQ77+AS77+AU77</f>
        <v>63586</v>
      </c>
      <c r="BD77" s="268"/>
    </row>
    <row r="78" spans="1:57" ht="14.1">
      <c r="A78" s="1149"/>
      <c r="B78" s="1227"/>
      <c r="C78" s="1227"/>
      <c r="D78" s="1109"/>
      <c r="E78" s="1235"/>
      <c r="F78" s="1113"/>
      <c r="G78" s="1276"/>
      <c r="H78" s="545" t="s">
        <v>25</v>
      </c>
      <c r="I78" s="546">
        <v>45901</v>
      </c>
      <c r="J78" s="520"/>
      <c r="K78" s="499"/>
      <c r="L78" s="547"/>
      <c r="M78" s="547"/>
      <c r="N78" s="548"/>
      <c r="O78" s="549"/>
      <c r="P78" s="550"/>
      <c r="Q78" s="551"/>
      <c r="R78" s="1409"/>
      <c r="S78" s="552"/>
      <c r="T78" s="422"/>
      <c r="U78" s="553"/>
      <c r="V78" s="547"/>
      <c r="W78" s="547"/>
      <c r="X78" s="547"/>
      <c r="Y78" s="428"/>
      <c r="Z78" s="663"/>
      <c r="AA78" s="188"/>
      <c r="AB78" s="188"/>
      <c r="AC78" s="553"/>
      <c r="AD78" s="547"/>
      <c r="AE78" s="547"/>
      <c r="AF78" s="547"/>
      <c r="AG78" s="547"/>
      <c r="AH78" s="547"/>
      <c r="AI78" s="547"/>
      <c r="AJ78" s="547"/>
      <c r="AK78" s="547"/>
      <c r="AL78" s="547"/>
      <c r="AM78" s="547"/>
      <c r="AN78" s="547"/>
      <c r="AO78" s="547"/>
      <c r="AP78" s="547"/>
      <c r="AQ78" s="547"/>
      <c r="AR78" s="547"/>
      <c r="AS78" s="547"/>
      <c r="AT78" s="547"/>
      <c r="AU78" s="547"/>
      <c r="AV78" s="547"/>
      <c r="AW78" s="661"/>
      <c r="AX78" s="661"/>
      <c r="AY78" s="661"/>
      <c r="AZ78" s="661"/>
      <c r="BA78" s="1383"/>
      <c r="BB78" s="253"/>
      <c r="BC78" s="218"/>
      <c r="BD78" s="254">
        <f>M78+O78+Q78+S78+U78+W78+Y78+AA78+AC78+AE78+AG78+AI78+AK78+AM78+AO78+AQ78+AS78+AU78</f>
        <v>0</v>
      </c>
    </row>
    <row r="79" spans="1:57">
      <c r="A79" s="1149"/>
      <c r="B79" s="1227"/>
      <c r="C79" s="1227"/>
      <c r="D79" s="1109"/>
      <c r="E79" s="1235"/>
      <c r="F79" s="1113"/>
      <c r="G79" s="1276"/>
      <c r="H79" s="554" t="s">
        <v>27</v>
      </c>
      <c r="I79" s="546">
        <v>46023</v>
      </c>
      <c r="J79" s="520"/>
      <c r="K79" s="499"/>
      <c r="L79" s="547"/>
      <c r="M79" s="547"/>
      <c r="N79" s="548"/>
      <c r="O79" s="549"/>
      <c r="P79" s="550"/>
      <c r="Q79" s="551"/>
      <c r="R79" s="1409"/>
      <c r="S79" s="552"/>
      <c r="T79" s="422"/>
      <c r="U79" s="553"/>
      <c r="V79" s="547"/>
      <c r="W79" s="547"/>
      <c r="X79" s="547"/>
      <c r="Y79" s="428"/>
      <c r="Z79" s="663"/>
      <c r="AA79" s="188"/>
      <c r="AB79" s="188"/>
      <c r="AC79" s="553"/>
      <c r="AD79" s="547"/>
      <c r="AE79" s="547"/>
      <c r="AF79" s="547"/>
      <c r="AG79" s="547"/>
      <c r="AH79" s="547"/>
      <c r="AI79" s="547"/>
      <c r="AJ79" s="547"/>
      <c r="AK79" s="547"/>
      <c r="AL79" s="547"/>
      <c r="AM79" s="547"/>
      <c r="AN79" s="547"/>
      <c r="AO79" s="547"/>
      <c r="AP79" s="547"/>
      <c r="AQ79" s="547"/>
      <c r="AR79" s="547"/>
      <c r="AS79" s="547"/>
      <c r="AT79" s="547"/>
      <c r="AU79" s="547"/>
      <c r="AV79" s="547"/>
      <c r="AW79" s="661"/>
      <c r="AX79" s="661"/>
      <c r="AY79" s="661"/>
      <c r="AZ79" s="661"/>
      <c r="BA79" s="1383"/>
      <c r="BB79" s="253"/>
      <c r="BC79" s="218"/>
      <c r="BD79" s="222"/>
    </row>
    <row r="80" spans="1:57" ht="14.1" thickBot="1">
      <c r="A80" s="1149"/>
      <c r="B80" s="1227"/>
      <c r="C80" s="1227"/>
      <c r="D80" s="1109"/>
      <c r="E80" s="1235"/>
      <c r="F80" s="1113"/>
      <c r="G80" s="1214"/>
      <c r="H80" s="555" t="s">
        <v>30</v>
      </c>
      <c r="I80" s="556">
        <v>46143</v>
      </c>
      <c r="J80" s="198"/>
      <c r="K80" s="507"/>
      <c r="L80" s="198"/>
      <c r="M80" s="198"/>
      <c r="N80" s="198"/>
      <c r="O80" s="431"/>
      <c r="P80" s="431"/>
      <c r="Q80" s="557"/>
      <c r="R80" s="1409"/>
      <c r="S80" s="431"/>
      <c r="T80" s="431"/>
      <c r="U80" s="198"/>
      <c r="V80" s="198"/>
      <c r="W80" s="198"/>
      <c r="X80" s="198"/>
      <c r="Y80" s="428"/>
      <c r="Z80" s="198"/>
      <c r="AA80" s="431"/>
      <c r="AB80" s="431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  <c r="AT80" s="198"/>
      <c r="AU80" s="198"/>
      <c r="AV80" s="198"/>
      <c r="BA80" s="1383"/>
      <c r="BB80" s="253"/>
      <c r="BC80" s="218"/>
      <c r="BD80" s="222"/>
    </row>
    <row r="81" spans="1:56">
      <c r="A81" s="1326">
        <v>23</v>
      </c>
      <c r="B81" s="1329" t="s">
        <v>165</v>
      </c>
      <c r="C81" s="1085" t="s">
        <v>166</v>
      </c>
      <c r="D81" s="1105">
        <f>199950+205440</f>
        <v>405390</v>
      </c>
      <c r="E81" s="1278" t="s">
        <v>167</v>
      </c>
      <c r="F81" s="1112" t="s">
        <v>21</v>
      </c>
      <c r="G81" s="1278" t="s">
        <v>168</v>
      </c>
      <c r="H81" s="490" t="s">
        <v>23</v>
      </c>
      <c r="I81" s="558">
        <v>45658</v>
      </c>
      <c r="J81" s="201" t="s">
        <v>169</v>
      </c>
      <c r="K81" s="559"/>
      <c r="L81" s="201"/>
      <c r="M81" s="560">
        <v>17120</v>
      </c>
      <c r="N81" s="201"/>
      <c r="O81" s="560">
        <v>17120</v>
      </c>
      <c r="P81" s="561"/>
      <c r="Q81" s="562">
        <f>149962.5+17120</f>
        <v>167082.5</v>
      </c>
      <c r="R81" s="1399" t="s">
        <v>170</v>
      </c>
      <c r="S81" s="560">
        <v>17120</v>
      </c>
      <c r="T81" s="201"/>
      <c r="U81" s="560">
        <v>17120</v>
      </c>
      <c r="V81" s="201"/>
      <c r="W81" s="560">
        <v>17120</v>
      </c>
      <c r="X81" s="201"/>
      <c r="Y81" s="664">
        <f>17120+49987.5</f>
        <v>67107.5</v>
      </c>
      <c r="Z81" s="1402" t="s">
        <v>697</v>
      </c>
      <c r="AA81" s="567">
        <f>W81</f>
        <v>17120</v>
      </c>
      <c r="AB81" s="201"/>
      <c r="AC81" s="737">
        <v>17120</v>
      </c>
      <c r="AD81" s="735"/>
      <c r="AE81" s="492"/>
      <c r="AF81" s="492"/>
      <c r="AG81" s="492"/>
      <c r="AH81" s="492"/>
      <c r="AI81" s="492"/>
      <c r="AJ81" s="492"/>
      <c r="AK81" s="492"/>
      <c r="AL81" s="492"/>
      <c r="AM81" s="492"/>
      <c r="AN81" s="563"/>
      <c r="AO81" s="201"/>
      <c r="AP81" s="201"/>
      <c r="AQ81" s="201"/>
      <c r="AR81" s="201"/>
      <c r="AS81" s="201"/>
      <c r="AT81" s="201"/>
      <c r="AU81" s="201"/>
      <c r="AV81" s="201"/>
      <c r="AW81" s="596"/>
      <c r="AX81" s="596"/>
      <c r="AY81" s="596"/>
      <c r="AZ81" s="596"/>
      <c r="BA81" s="1385">
        <f t="shared" ref="BA81" si="5">D81</f>
        <v>405390</v>
      </c>
      <c r="BB81" s="241">
        <f>M81+O81+Q81+S81+U81+W81+Y81+AA81+AC81+AE81+AG81+AI81+AK81+AM81+AO81+AQ81+AS81+AU81</f>
        <v>354030</v>
      </c>
      <c r="BC81" s="267">
        <f>M81+O81+Q81+S81+U81+W81+Y81+AA81+AC81+AE81+AG81+AI81+AK81+AM81+AO81+AQ81+AS81+AU81</f>
        <v>354030</v>
      </c>
      <c r="BD81" s="268"/>
    </row>
    <row r="82" spans="1:56" ht="14.1">
      <c r="A82" s="1327"/>
      <c r="B82" s="1330"/>
      <c r="C82" s="1086"/>
      <c r="D82" s="1106"/>
      <c r="E82" s="1240"/>
      <c r="F82" s="1113"/>
      <c r="G82" s="1240"/>
      <c r="H82" s="497" t="s">
        <v>25</v>
      </c>
      <c r="I82" s="564">
        <v>45748</v>
      </c>
      <c r="J82" s="212" t="s">
        <v>171</v>
      </c>
      <c r="K82" s="565"/>
      <c r="L82" s="212"/>
      <c r="M82" s="566"/>
      <c r="N82" s="212"/>
      <c r="O82" s="212"/>
      <c r="P82" s="212"/>
      <c r="Q82" s="567"/>
      <c r="R82" s="1400"/>
      <c r="S82" s="212"/>
      <c r="T82" s="212"/>
      <c r="U82" s="212"/>
      <c r="V82" s="212"/>
      <c r="W82" s="212"/>
      <c r="X82" s="212"/>
      <c r="Y82" s="709"/>
      <c r="Z82" s="1381"/>
      <c r="AA82" s="566"/>
      <c r="AB82" s="212"/>
      <c r="AC82" s="1403"/>
      <c r="AD82" s="1406" t="s">
        <v>714</v>
      </c>
      <c r="AE82" s="568">
        <v>17120</v>
      </c>
      <c r="AF82" s="326"/>
      <c r="AG82" s="568">
        <v>17120</v>
      </c>
      <c r="AH82" s="326"/>
      <c r="AI82" s="568">
        <v>17120</v>
      </c>
      <c r="AJ82" s="326"/>
      <c r="AK82" s="568"/>
      <c r="AL82" s="326"/>
      <c r="AM82" s="568"/>
      <c r="AN82" s="212"/>
      <c r="AO82" s="212"/>
      <c r="AP82" s="212"/>
      <c r="AQ82" s="212"/>
      <c r="AR82" s="212"/>
      <c r="AS82" s="212"/>
      <c r="AT82" s="212"/>
      <c r="AU82" s="212"/>
      <c r="AV82" s="212"/>
      <c r="AW82" s="356"/>
      <c r="AX82" s="356"/>
      <c r="AY82" s="356"/>
      <c r="AZ82" s="356"/>
      <c r="BA82" s="1383"/>
      <c r="BB82" s="253"/>
      <c r="BC82" s="218"/>
      <c r="BD82" s="254">
        <f>M82+O82+Q82+S82+U82+W82+Y82+AA82+AC82+AE82+AG82+AI82+AK82+AM82+AO82+AQ82+AS82+AU82</f>
        <v>51360</v>
      </c>
    </row>
    <row r="83" spans="1:56" ht="14.1" thickBot="1">
      <c r="A83" s="1327"/>
      <c r="B83" s="1330"/>
      <c r="C83" s="1086"/>
      <c r="D83" s="1106"/>
      <c r="E83" s="1240"/>
      <c r="F83" s="1113"/>
      <c r="G83" s="1240"/>
      <c r="H83" s="497" t="s">
        <v>27</v>
      </c>
      <c r="I83" s="564">
        <v>45839</v>
      </c>
      <c r="J83" s="212" t="s">
        <v>172</v>
      </c>
      <c r="K83" s="565"/>
      <c r="L83" s="212"/>
      <c r="M83" s="566"/>
      <c r="N83" s="212"/>
      <c r="O83" s="212"/>
      <c r="P83" s="212"/>
      <c r="Q83" s="569"/>
      <c r="R83" s="1400"/>
      <c r="S83" s="212"/>
      <c r="T83" s="212"/>
      <c r="U83" s="212"/>
      <c r="V83" s="212"/>
      <c r="W83" s="212"/>
      <c r="X83" s="212"/>
      <c r="Y83" s="567"/>
      <c r="Z83" s="1381"/>
      <c r="AA83" s="212"/>
      <c r="AB83" s="212"/>
      <c r="AC83" s="1404"/>
      <c r="AD83" s="1363"/>
      <c r="AE83" s="212"/>
      <c r="AF83" s="212"/>
      <c r="AG83" s="212"/>
      <c r="AH83" s="212"/>
      <c r="AI83" s="212"/>
      <c r="AJ83" s="212"/>
      <c r="AK83" s="212"/>
      <c r="AL83" s="212"/>
      <c r="AM83" s="212"/>
      <c r="AN83" s="212"/>
      <c r="AO83" s="212"/>
      <c r="AP83" s="212"/>
      <c r="AQ83" s="212"/>
      <c r="AR83" s="212"/>
      <c r="AS83" s="212"/>
      <c r="AT83" s="212"/>
      <c r="AU83" s="212"/>
      <c r="AV83" s="212"/>
      <c r="AW83" s="356"/>
      <c r="AX83" s="356"/>
      <c r="AY83" s="356"/>
      <c r="AZ83" s="356"/>
      <c r="BA83" s="1383"/>
      <c r="BB83" s="253"/>
      <c r="BC83" s="218"/>
      <c r="BD83" s="222"/>
    </row>
    <row r="84" spans="1:56" ht="14.1" thickBot="1">
      <c r="A84" s="1328"/>
      <c r="B84" s="1331"/>
      <c r="C84" s="1086"/>
      <c r="D84" s="1107"/>
      <c r="E84" s="1241"/>
      <c r="F84" s="1113"/>
      <c r="G84" s="1241"/>
      <c r="H84" s="373" t="s">
        <v>30</v>
      </c>
      <c r="I84" s="570">
        <v>45931</v>
      </c>
      <c r="J84" s="229" t="s">
        <v>173</v>
      </c>
      <c r="K84" s="571"/>
      <c r="L84" s="229"/>
      <c r="M84" s="572"/>
      <c r="N84" s="229"/>
      <c r="O84" s="229"/>
      <c r="P84" s="229"/>
      <c r="Q84" s="573"/>
      <c r="R84" s="1400"/>
      <c r="S84" s="229"/>
      <c r="T84" s="229"/>
      <c r="U84" s="229"/>
      <c r="V84" s="229"/>
      <c r="W84" s="229"/>
      <c r="X84" s="229"/>
      <c r="Y84" s="710"/>
      <c r="Z84" s="1381"/>
      <c r="AA84" s="229"/>
      <c r="AB84" s="229"/>
      <c r="AC84" s="1405"/>
      <c r="AD84" s="1407"/>
      <c r="AE84" s="229"/>
      <c r="AF84" s="229"/>
      <c r="AG84" s="229"/>
      <c r="AH84" s="229"/>
      <c r="AI84" s="229"/>
      <c r="AJ84" s="229"/>
      <c r="AK84" s="229"/>
      <c r="AL84" s="229"/>
      <c r="AM84" s="229"/>
      <c r="AN84" s="229"/>
      <c r="AO84" s="229"/>
      <c r="AP84" s="229"/>
      <c r="AQ84" s="229"/>
      <c r="AR84" s="229"/>
      <c r="AS84" s="229"/>
      <c r="AT84" s="229"/>
      <c r="AU84" s="229"/>
      <c r="AV84" s="229"/>
      <c r="AW84" s="356"/>
      <c r="AX84" s="356"/>
      <c r="AY84" s="356"/>
      <c r="AZ84" s="356"/>
      <c r="BA84" s="1383"/>
      <c r="BB84" s="253"/>
      <c r="BC84" s="267"/>
      <c r="BD84" s="222"/>
    </row>
    <row r="85" spans="1:56">
      <c r="A85" s="1326">
        <v>24</v>
      </c>
      <c r="B85" s="1273" t="s">
        <v>174</v>
      </c>
      <c r="C85" s="1087" t="s">
        <v>175</v>
      </c>
      <c r="D85" s="1103">
        <v>482421</v>
      </c>
      <c r="E85" s="1092" t="s">
        <v>176</v>
      </c>
      <c r="F85" s="1112" t="s">
        <v>21</v>
      </c>
      <c r="G85" s="1239" t="s">
        <v>177</v>
      </c>
      <c r="H85" s="490" t="s">
        <v>23</v>
      </c>
      <c r="I85" s="558">
        <v>45658</v>
      </c>
      <c r="J85" s="201" t="s">
        <v>178</v>
      </c>
      <c r="K85" s="559"/>
      <c r="L85" s="201"/>
      <c r="M85" s="201"/>
      <c r="N85" s="201"/>
      <c r="O85" s="201"/>
      <c r="P85" s="266"/>
      <c r="Q85" s="495">
        <f>D85/2</f>
        <v>241210.5</v>
      </c>
      <c r="R85" s="1401" t="s">
        <v>179</v>
      </c>
      <c r="S85" s="201"/>
      <c r="T85" s="201"/>
      <c r="U85" s="201"/>
      <c r="V85" s="201"/>
      <c r="W85" s="201"/>
      <c r="X85" s="201"/>
      <c r="Y85" s="542"/>
      <c r="Z85" s="201"/>
      <c r="AA85" s="201"/>
      <c r="AB85" s="201"/>
      <c r="AC85" s="201"/>
      <c r="AD85" s="201"/>
      <c r="AE85" s="595">
        <v>241210.5</v>
      </c>
      <c r="AF85" s="1399" t="s">
        <v>715</v>
      </c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  <c r="AV85" s="201"/>
      <c r="AW85" s="596"/>
      <c r="AX85" s="596"/>
      <c r="AY85" s="596"/>
      <c r="AZ85" s="596"/>
      <c r="BA85" s="1385">
        <f t="shared" ref="BA85" si="6">D85</f>
        <v>482421</v>
      </c>
      <c r="BB85" s="241">
        <f>K85+M85+O85+Q85+S85+U85+W85+Y698+AA85+AC85+AE85+AG85+AI85+AK85+AM85+AO85+AQ85+AS85+AU85</f>
        <v>482421</v>
      </c>
      <c r="BC85" s="267">
        <f>M85+O85+Q85+S85+U85+W85+Y85+AA85+AC85+AE85+AG85+AI85+AK85+AM85+AO85+AQ85+AS85+AU85</f>
        <v>482421</v>
      </c>
      <c r="BD85" s="268"/>
    </row>
    <row r="86" spans="1:56" ht="14.1">
      <c r="A86" s="1327"/>
      <c r="B86" s="1274"/>
      <c r="C86" s="1088"/>
      <c r="D86" s="1104"/>
      <c r="E86" s="1093"/>
      <c r="F86" s="1113"/>
      <c r="G86" s="1276"/>
      <c r="H86" s="497" t="s">
        <v>25</v>
      </c>
      <c r="I86" s="564">
        <v>45748</v>
      </c>
      <c r="J86" s="212" t="s">
        <v>180</v>
      </c>
      <c r="K86" s="565"/>
      <c r="L86" s="212"/>
      <c r="M86" s="212"/>
      <c r="N86" s="212"/>
      <c r="O86" s="212"/>
      <c r="P86" s="212"/>
      <c r="Q86" s="500"/>
      <c r="R86" s="1400"/>
      <c r="S86" s="212"/>
      <c r="T86" s="212"/>
      <c r="U86" s="212"/>
      <c r="V86" s="212"/>
      <c r="W86" s="212"/>
      <c r="X86" s="212"/>
      <c r="Y86" s="552"/>
      <c r="Z86" s="212"/>
      <c r="AA86" s="212"/>
      <c r="AB86" s="212"/>
      <c r="AC86" s="212"/>
      <c r="AD86" s="212"/>
      <c r="AE86" s="736"/>
      <c r="AF86" s="1400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356"/>
      <c r="AX86" s="356"/>
      <c r="AY86" s="356"/>
      <c r="AZ86" s="356"/>
      <c r="BA86" s="1383"/>
      <c r="BB86" s="253"/>
      <c r="BC86" s="218"/>
      <c r="BD86" s="714">
        <f>M86+O86+Q86+S86+U86+W86+Y86+AA86+AC86+AE86+AG86+AI86+AK86+AM86+AO86+AQ86+AS86+AU86</f>
        <v>0</v>
      </c>
    </row>
    <row r="87" spans="1:56">
      <c r="A87" s="1327"/>
      <c r="B87" s="1274"/>
      <c r="C87" s="1088"/>
      <c r="D87" s="1104"/>
      <c r="E87" s="1093"/>
      <c r="F87" s="1113"/>
      <c r="G87" s="1276"/>
      <c r="H87" s="497" t="s">
        <v>27</v>
      </c>
      <c r="I87" s="564">
        <v>45839</v>
      </c>
      <c r="J87" s="212" t="s">
        <v>181</v>
      </c>
      <c r="K87" s="565"/>
      <c r="L87" s="212"/>
      <c r="M87" s="212"/>
      <c r="N87" s="212"/>
      <c r="O87" s="212"/>
      <c r="P87" s="212"/>
      <c r="Q87" s="500"/>
      <c r="R87" s="1400"/>
      <c r="S87" s="212"/>
      <c r="T87" s="212"/>
      <c r="U87" s="212"/>
      <c r="V87" s="212"/>
      <c r="W87" s="212"/>
      <c r="X87" s="212"/>
      <c r="Y87" s="552"/>
      <c r="Z87" s="212"/>
      <c r="AA87" s="212"/>
      <c r="AB87" s="212"/>
      <c r="AC87" s="212"/>
      <c r="AD87" s="212"/>
      <c r="AE87" s="500"/>
      <c r="AF87" s="1400"/>
      <c r="AG87" s="212"/>
      <c r="AH87" s="212"/>
      <c r="AI87" s="212"/>
      <c r="AJ87" s="212"/>
      <c r="AK87" s="212"/>
      <c r="AL87" s="212"/>
      <c r="AM87" s="212"/>
      <c r="AN87" s="212"/>
      <c r="AO87" s="212"/>
      <c r="AP87" s="212"/>
      <c r="AQ87" s="212"/>
      <c r="AR87" s="212"/>
      <c r="AS87" s="212"/>
      <c r="AT87" s="212"/>
      <c r="AU87" s="212"/>
      <c r="AV87" s="212"/>
      <c r="AW87" s="356"/>
      <c r="AX87" s="356"/>
      <c r="AY87" s="356"/>
      <c r="AZ87" s="356"/>
      <c r="BA87" s="1383"/>
      <c r="BB87" s="253"/>
      <c r="BC87" s="218"/>
      <c r="BD87" s="222"/>
    </row>
    <row r="88" spans="1:56" ht="14.1" thickBot="1">
      <c r="A88" s="1328"/>
      <c r="B88" s="1275"/>
      <c r="C88" s="1088"/>
      <c r="D88" s="1104"/>
      <c r="E88" s="1094"/>
      <c r="F88" s="1113"/>
      <c r="G88" s="1214"/>
      <c r="H88" s="373" t="s">
        <v>30</v>
      </c>
      <c r="I88" s="570">
        <v>45931</v>
      </c>
      <c r="J88" s="229"/>
      <c r="K88" s="571"/>
      <c r="L88" s="229"/>
      <c r="M88" s="229"/>
      <c r="N88" s="229"/>
      <c r="O88" s="229"/>
      <c r="P88" s="229"/>
      <c r="Q88" s="500"/>
      <c r="R88" s="1400"/>
      <c r="S88" s="229"/>
      <c r="T88" s="229"/>
      <c r="U88" s="229"/>
      <c r="V88" s="229"/>
      <c r="W88" s="229"/>
      <c r="X88" s="229"/>
      <c r="Y88" s="574"/>
      <c r="Z88" s="229"/>
      <c r="AA88" s="229"/>
      <c r="AB88" s="229"/>
      <c r="AC88" s="229"/>
      <c r="AD88" s="229"/>
      <c r="AE88" s="500"/>
      <c r="AF88" s="1400"/>
      <c r="AG88" s="229"/>
      <c r="AH88" s="229"/>
      <c r="AI88" s="229"/>
      <c r="AJ88" s="229"/>
      <c r="AK88" s="229"/>
      <c r="AL88" s="229"/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356"/>
      <c r="AX88" s="356"/>
      <c r="AY88" s="356"/>
      <c r="AZ88" s="356"/>
      <c r="BA88" s="1383"/>
      <c r="BB88" s="253"/>
      <c r="BC88" s="218"/>
      <c r="BD88" s="222"/>
    </row>
    <row r="89" spans="1:56">
      <c r="A89" s="1326">
        <v>25</v>
      </c>
      <c r="B89" s="1273" t="s">
        <v>182</v>
      </c>
      <c r="C89" s="1087" t="s">
        <v>175</v>
      </c>
      <c r="D89" s="1103">
        <v>276282</v>
      </c>
      <c r="E89" s="1092" t="s">
        <v>176</v>
      </c>
      <c r="F89" s="1095" t="s">
        <v>21</v>
      </c>
      <c r="G89" s="1239" t="s">
        <v>177</v>
      </c>
      <c r="H89" s="490" t="s">
        <v>23</v>
      </c>
      <c r="I89" s="558">
        <v>45658</v>
      </c>
      <c r="J89" s="201" t="s">
        <v>183</v>
      </c>
      <c r="K89" s="559"/>
      <c r="L89" s="201"/>
      <c r="M89" s="201"/>
      <c r="N89" s="201"/>
      <c r="O89" s="201"/>
      <c r="P89" s="201"/>
      <c r="Q89" s="530">
        <f>D89/2</f>
        <v>138141</v>
      </c>
      <c r="R89" s="1399" t="s">
        <v>179</v>
      </c>
      <c r="S89" s="201"/>
      <c r="T89" s="201"/>
      <c r="U89" s="201"/>
      <c r="V89" s="201"/>
      <c r="W89" s="201"/>
      <c r="X89" s="201"/>
      <c r="Y89" s="542"/>
      <c r="Z89" s="201"/>
      <c r="AA89" s="201"/>
      <c r="AB89" s="201"/>
      <c r="AC89" s="201"/>
      <c r="AD89" s="201"/>
      <c r="AE89" s="737">
        <v>138141</v>
      </c>
      <c r="AF89" s="1399" t="s">
        <v>716</v>
      </c>
      <c r="AG89" s="201"/>
      <c r="AH89" s="201"/>
      <c r="AI89" s="201"/>
      <c r="AJ89" s="201"/>
      <c r="AK89" s="201"/>
      <c r="AL89" s="201"/>
      <c r="AM89" s="201"/>
      <c r="AN89" s="201"/>
      <c r="AO89" s="201"/>
      <c r="AP89" s="201"/>
      <c r="AQ89" s="201"/>
      <c r="AR89" s="201"/>
      <c r="AS89" s="201"/>
      <c r="AT89" s="201"/>
      <c r="AU89" s="201"/>
      <c r="AV89" s="201"/>
      <c r="AW89" s="596"/>
      <c r="AX89" s="596"/>
      <c r="AY89" s="596"/>
      <c r="AZ89" s="596"/>
      <c r="BA89" s="1385">
        <f t="shared" ref="BA89" si="7">D89</f>
        <v>276282</v>
      </c>
      <c r="BB89" s="241">
        <f>M89+O89+Q89+S89+U89+W89+Y89+AA89+AC89+AE89+AG89+AI89+AK89+AM89+AO89+AQ89+AS89+AU89</f>
        <v>276282</v>
      </c>
      <c r="BC89" s="267">
        <f>M89+O89+Q89+S89+U89+W89+Y89+AA89+AC89+AE89+AG89+AI89+AK89+AM89+AO89+AQ89+AS89+AU89</f>
        <v>276282</v>
      </c>
      <c r="BD89" s="268"/>
    </row>
    <row r="90" spans="1:56" ht="14.1">
      <c r="A90" s="1327"/>
      <c r="B90" s="1274"/>
      <c r="C90" s="1088"/>
      <c r="D90" s="1104"/>
      <c r="E90" s="1093"/>
      <c r="F90" s="1096"/>
      <c r="G90" s="1276"/>
      <c r="H90" s="497" t="s">
        <v>25</v>
      </c>
      <c r="I90" s="564">
        <v>45748</v>
      </c>
      <c r="J90" s="212" t="s">
        <v>184</v>
      </c>
      <c r="K90" s="565"/>
      <c r="L90" s="212"/>
      <c r="M90" s="212"/>
      <c r="N90" s="212"/>
      <c r="O90" s="212"/>
      <c r="P90" s="212"/>
      <c r="Q90" s="500"/>
      <c r="R90" s="1400"/>
      <c r="S90" s="212"/>
      <c r="T90" s="212"/>
      <c r="U90" s="212"/>
      <c r="V90" s="212"/>
      <c r="W90" s="212"/>
      <c r="X90" s="212"/>
      <c r="Y90" s="552"/>
      <c r="Z90" s="212"/>
      <c r="AA90" s="212"/>
      <c r="AB90" s="212"/>
      <c r="AC90" s="212"/>
      <c r="AD90" s="212"/>
      <c r="AE90" s="736"/>
      <c r="AF90" s="1400"/>
      <c r="AG90" s="212"/>
      <c r="AH90" s="212"/>
      <c r="AI90" s="212"/>
      <c r="AJ90" s="212"/>
      <c r="AK90" s="212"/>
      <c r="AL90" s="212"/>
      <c r="AM90" s="212"/>
      <c r="AN90" s="212"/>
      <c r="AO90" s="212"/>
      <c r="AP90" s="212"/>
      <c r="AQ90" s="212"/>
      <c r="AR90" s="212"/>
      <c r="AS90" s="212"/>
      <c r="AT90" s="212"/>
      <c r="AU90" s="212"/>
      <c r="AV90" s="212"/>
      <c r="AW90" s="356"/>
      <c r="AX90" s="356"/>
      <c r="AY90" s="356"/>
      <c r="AZ90" s="356"/>
      <c r="BA90" s="1383"/>
      <c r="BB90" s="253"/>
      <c r="BC90" s="218"/>
      <c r="BD90" s="254">
        <f>M90+O90+Q90+S90+U90+W90+Y90+AA90+AC90+AE90+AG90+AI90+AK90+AM90+AO90+AQ90+AS90+AU90</f>
        <v>0</v>
      </c>
    </row>
    <row r="91" spans="1:56">
      <c r="A91" s="1327"/>
      <c r="B91" s="1274"/>
      <c r="C91" s="1088"/>
      <c r="D91" s="1104"/>
      <c r="E91" s="1093"/>
      <c r="F91" s="1096"/>
      <c r="G91" s="1276"/>
      <c r="H91" s="497" t="s">
        <v>27</v>
      </c>
      <c r="I91" s="564">
        <v>45839</v>
      </c>
      <c r="J91" s="212" t="s">
        <v>181</v>
      </c>
      <c r="K91" s="565"/>
      <c r="L91" s="212"/>
      <c r="M91" s="212"/>
      <c r="N91" s="212"/>
      <c r="O91" s="212"/>
      <c r="P91" s="212"/>
      <c r="Q91" s="500"/>
      <c r="R91" s="1400"/>
      <c r="S91" s="212"/>
      <c r="T91" s="212"/>
      <c r="U91" s="212"/>
      <c r="V91" s="212"/>
      <c r="W91" s="212"/>
      <c r="X91" s="212"/>
      <c r="Y91" s="552"/>
      <c r="Z91" s="212"/>
      <c r="AA91" s="212"/>
      <c r="AB91" s="212"/>
      <c r="AC91" s="212"/>
      <c r="AD91" s="212"/>
      <c r="AE91" s="500"/>
      <c r="AF91" s="1400"/>
      <c r="AG91" s="212"/>
      <c r="AH91" s="212"/>
      <c r="AI91" s="212"/>
      <c r="AJ91" s="212"/>
      <c r="AK91" s="212"/>
      <c r="AL91" s="212"/>
      <c r="AM91" s="212"/>
      <c r="AN91" s="212"/>
      <c r="AO91" s="212"/>
      <c r="AP91" s="212"/>
      <c r="AQ91" s="212"/>
      <c r="AR91" s="212"/>
      <c r="AS91" s="212"/>
      <c r="AT91" s="212"/>
      <c r="AU91" s="212"/>
      <c r="AV91" s="212"/>
      <c r="AW91" s="356"/>
      <c r="AX91" s="356"/>
      <c r="AY91" s="356"/>
      <c r="AZ91" s="356"/>
      <c r="BA91" s="1383"/>
      <c r="BB91" s="253"/>
      <c r="BC91" s="218"/>
      <c r="BD91" s="222"/>
    </row>
    <row r="92" spans="1:56" ht="14.1" thickBot="1">
      <c r="A92" s="1328"/>
      <c r="B92" s="1275"/>
      <c r="C92" s="1088"/>
      <c r="D92" s="1104"/>
      <c r="E92" s="1094"/>
      <c r="F92" s="1096"/>
      <c r="G92" s="1214"/>
      <c r="H92" s="373" t="s">
        <v>30</v>
      </c>
      <c r="I92" s="570">
        <v>45931</v>
      </c>
      <c r="J92" s="229"/>
      <c r="K92" s="571"/>
      <c r="L92" s="229"/>
      <c r="M92" s="229"/>
      <c r="N92" s="229"/>
      <c r="O92" s="229"/>
      <c r="P92" s="229"/>
      <c r="Q92" s="500"/>
      <c r="R92" s="1400"/>
      <c r="S92" s="229"/>
      <c r="T92" s="229"/>
      <c r="U92" s="229"/>
      <c r="V92" s="229"/>
      <c r="W92" s="229"/>
      <c r="X92" s="229"/>
      <c r="Y92" s="574"/>
      <c r="Z92" s="229"/>
      <c r="AA92" s="229"/>
      <c r="AB92" s="229"/>
      <c r="AC92" s="229"/>
      <c r="AD92" s="229"/>
      <c r="AE92" s="500"/>
      <c r="AF92" s="1400"/>
      <c r="AG92" s="229"/>
      <c r="AH92" s="229"/>
      <c r="AI92" s="229"/>
      <c r="AJ92" s="229"/>
      <c r="AK92" s="229"/>
      <c r="AL92" s="229"/>
      <c r="AM92" s="229"/>
      <c r="AN92" s="229"/>
      <c r="AO92" s="229"/>
      <c r="AP92" s="229"/>
      <c r="AQ92" s="229"/>
      <c r="AR92" s="229"/>
      <c r="AS92" s="229"/>
      <c r="AT92" s="229"/>
      <c r="AU92" s="229"/>
      <c r="AV92" s="229"/>
      <c r="AW92" s="356"/>
      <c r="AX92" s="356"/>
      <c r="AY92" s="356"/>
      <c r="AZ92" s="356"/>
      <c r="BA92" s="1383"/>
      <c r="BB92" s="253"/>
      <c r="BC92" s="218"/>
      <c r="BD92" s="222"/>
    </row>
    <row r="93" spans="1:56">
      <c r="A93" s="1326">
        <v>26</v>
      </c>
      <c r="B93" s="1273" t="s">
        <v>185</v>
      </c>
      <c r="C93" s="1087" t="s">
        <v>175</v>
      </c>
      <c r="D93" s="1105">
        <v>27284</v>
      </c>
      <c r="E93" s="1092" t="s">
        <v>186</v>
      </c>
      <c r="F93" s="1112" t="s">
        <v>21</v>
      </c>
      <c r="G93" s="1239" t="s">
        <v>177</v>
      </c>
      <c r="H93" s="490" t="s">
        <v>23</v>
      </c>
      <c r="I93" s="558">
        <v>45658</v>
      </c>
      <c r="J93" s="201" t="s">
        <v>187</v>
      </c>
      <c r="K93" s="559"/>
      <c r="L93" s="201"/>
      <c r="M93" s="201"/>
      <c r="N93" s="201"/>
      <c r="O93" s="201"/>
      <c r="P93" s="201"/>
      <c r="Q93" s="575"/>
      <c r="R93" s="439"/>
      <c r="S93" s="201"/>
      <c r="T93" s="201"/>
      <c r="U93" s="576">
        <v>27284</v>
      </c>
      <c r="V93" s="1362" t="s">
        <v>188</v>
      </c>
      <c r="W93" s="201"/>
      <c r="X93" s="201"/>
      <c r="Y93" s="542"/>
      <c r="Z93" s="201"/>
      <c r="AA93" s="201"/>
      <c r="AB93" s="201"/>
      <c r="AC93" s="201"/>
      <c r="AD93" s="201"/>
      <c r="AE93" s="575"/>
      <c r="AF93" s="439"/>
      <c r="AG93" s="201"/>
      <c r="AH93" s="201"/>
      <c r="AI93" s="201"/>
      <c r="AJ93" s="201"/>
      <c r="AK93" s="201"/>
      <c r="AL93" s="201"/>
      <c r="AM93" s="201"/>
      <c r="AN93" s="201"/>
      <c r="AO93" s="201"/>
      <c r="AP93" s="201"/>
      <c r="AQ93" s="201"/>
      <c r="AR93" s="201"/>
      <c r="AS93" s="201"/>
      <c r="AT93" s="201"/>
      <c r="AU93" s="201"/>
      <c r="AV93" s="201"/>
      <c r="AW93" s="596"/>
      <c r="AX93" s="596"/>
      <c r="AY93" s="596"/>
      <c r="AZ93" s="596"/>
      <c r="BA93" s="1385">
        <f t="shared" ref="BA93" si="8">D93</f>
        <v>27284</v>
      </c>
      <c r="BB93" s="241">
        <f>M93+O93+Q93+S93+U93+W93+Y93+AA93+AC93+AE93+AG93+AI93+AK93+AM93+AO93+AQ93+AS93+AU93</f>
        <v>27284</v>
      </c>
      <c r="BC93" s="267">
        <f>M93+O93+Q93+S93+U93+W93+Y93+AA93+AC93+AE93+AG93+AI93+AK93+AM93+AO93+AQ93+AS93+AU93</f>
        <v>27284</v>
      </c>
      <c r="BD93" s="268"/>
    </row>
    <row r="94" spans="1:56" ht="14.1">
      <c r="A94" s="1327"/>
      <c r="B94" s="1274"/>
      <c r="C94" s="1088"/>
      <c r="D94" s="1106"/>
      <c r="E94" s="1093"/>
      <c r="F94" s="1113"/>
      <c r="G94" s="1276"/>
      <c r="H94" s="497" t="s">
        <v>25</v>
      </c>
      <c r="I94" s="564">
        <v>45748</v>
      </c>
      <c r="J94" s="212" t="s">
        <v>189</v>
      </c>
      <c r="K94" s="565"/>
      <c r="L94" s="212"/>
      <c r="M94" s="212"/>
      <c r="N94" s="212"/>
      <c r="O94" s="212"/>
      <c r="P94" s="212"/>
      <c r="Q94" s="577"/>
      <c r="R94" s="422"/>
      <c r="S94" s="212"/>
      <c r="T94" s="212"/>
      <c r="U94" s="578"/>
      <c r="V94" s="1363"/>
      <c r="W94" s="212"/>
      <c r="X94" s="212"/>
      <c r="Y94" s="552"/>
      <c r="Z94" s="212"/>
      <c r="AA94" s="212"/>
      <c r="AB94" s="212"/>
      <c r="AC94" s="212"/>
      <c r="AD94" s="212"/>
      <c r="AE94" s="577"/>
      <c r="AF94" s="422"/>
      <c r="AG94" s="212"/>
      <c r="AH94" s="212"/>
      <c r="AI94" s="212"/>
      <c r="AJ94" s="212"/>
      <c r="AK94" s="212"/>
      <c r="AL94" s="212"/>
      <c r="AM94" s="212"/>
      <c r="AN94" s="212"/>
      <c r="AO94" s="212"/>
      <c r="AP94" s="212"/>
      <c r="AQ94" s="212"/>
      <c r="AR94" s="212"/>
      <c r="AS94" s="212"/>
      <c r="AT94" s="212"/>
      <c r="AU94" s="212"/>
      <c r="AV94" s="212"/>
      <c r="AW94" s="356"/>
      <c r="AX94" s="356"/>
      <c r="AY94" s="356"/>
      <c r="AZ94" s="356"/>
      <c r="BA94" s="1383"/>
      <c r="BB94" s="253"/>
      <c r="BC94" s="218"/>
      <c r="BD94" s="220">
        <f>M94+O94+Q94+S94+U94+W94+Y94+AA94+AC94+AE94+AG94+AI94+AK94+AM94+AO94+AQ94+AS94+AU94</f>
        <v>0</v>
      </c>
    </row>
    <row r="95" spans="1:56">
      <c r="A95" s="1327"/>
      <c r="B95" s="1274"/>
      <c r="C95" s="1088"/>
      <c r="D95" s="1106"/>
      <c r="E95" s="1093"/>
      <c r="F95" s="1113"/>
      <c r="G95" s="1276"/>
      <c r="H95" s="497" t="s">
        <v>27</v>
      </c>
      <c r="I95" s="564">
        <v>45839</v>
      </c>
      <c r="J95" s="212" t="s">
        <v>190</v>
      </c>
      <c r="K95" s="565"/>
      <c r="L95" s="212"/>
      <c r="M95" s="212"/>
      <c r="N95" s="212"/>
      <c r="O95" s="212"/>
      <c r="P95" s="212"/>
      <c r="Q95" s="577"/>
      <c r="R95" s="422"/>
      <c r="S95" s="212"/>
      <c r="T95" s="212"/>
      <c r="U95" s="578"/>
      <c r="V95" s="1363"/>
      <c r="W95" s="212"/>
      <c r="X95" s="212"/>
      <c r="Y95" s="552"/>
      <c r="Z95" s="212"/>
      <c r="AA95" s="212"/>
      <c r="AB95" s="212"/>
      <c r="AC95" s="212"/>
      <c r="AD95" s="212"/>
      <c r="AE95" s="577"/>
      <c r="AF95" s="422"/>
      <c r="AG95" s="212"/>
      <c r="AH95" s="212"/>
      <c r="AI95" s="212"/>
      <c r="AJ95" s="212"/>
      <c r="AK95" s="212"/>
      <c r="AL95" s="212"/>
      <c r="AM95" s="212"/>
      <c r="AN95" s="212"/>
      <c r="AO95" s="212"/>
      <c r="AP95" s="212"/>
      <c r="AQ95" s="212"/>
      <c r="AR95" s="212"/>
      <c r="AS95" s="212"/>
      <c r="AT95" s="212"/>
      <c r="AU95" s="212"/>
      <c r="AV95" s="212"/>
      <c r="AW95" s="356"/>
      <c r="AX95" s="356"/>
      <c r="AY95" s="356"/>
      <c r="AZ95" s="356"/>
      <c r="BA95" s="1383"/>
      <c r="BB95" s="253"/>
      <c r="BC95" s="218"/>
      <c r="BD95" s="222"/>
    </row>
    <row r="96" spans="1:56" ht="14.1" thickBot="1">
      <c r="A96" s="1328"/>
      <c r="B96" s="1275"/>
      <c r="C96" s="1088"/>
      <c r="D96" s="1107"/>
      <c r="E96" s="1094"/>
      <c r="F96" s="1113"/>
      <c r="G96" s="1214"/>
      <c r="H96" s="373" t="s">
        <v>30</v>
      </c>
      <c r="I96" s="570">
        <v>45931</v>
      </c>
      <c r="J96" s="229"/>
      <c r="K96" s="571"/>
      <c r="L96" s="229"/>
      <c r="M96" s="229"/>
      <c r="N96" s="229"/>
      <c r="O96" s="229"/>
      <c r="P96" s="229"/>
      <c r="Q96" s="371"/>
      <c r="R96" s="433"/>
      <c r="S96" s="229"/>
      <c r="T96" s="229"/>
      <c r="U96" s="569"/>
      <c r="V96" s="1363"/>
      <c r="W96" s="229"/>
      <c r="X96" s="229"/>
      <c r="Y96" s="574"/>
      <c r="Z96" s="229"/>
      <c r="AA96" s="229"/>
      <c r="AB96" s="229"/>
      <c r="AC96" s="229"/>
      <c r="AD96" s="229"/>
      <c r="AE96" s="371"/>
      <c r="AF96" s="433"/>
      <c r="AG96" s="229"/>
      <c r="AH96" s="229"/>
      <c r="AI96" s="229"/>
      <c r="AJ96" s="229"/>
      <c r="AK96" s="229"/>
      <c r="AL96" s="229"/>
      <c r="AM96" s="229"/>
      <c r="AN96" s="229"/>
      <c r="AO96" s="229"/>
      <c r="AP96" s="229"/>
      <c r="AQ96" s="229"/>
      <c r="AR96" s="229"/>
      <c r="AS96" s="229"/>
      <c r="AT96" s="229"/>
      <c r="AU96" s="229"/>
      <c r="AV96" s="229"/>
      <c r="AW96" s="356"/>
      <c r="AX96" s="356"/>
      <c r="AY96" s="356"/>
      <c r="AZ96" s="356"/>
      <c r="BA96" s="1383"/>
      <c r="BB96" s="253"/>
      <c r="BC96" s="218"/>
      <c r="BD96" s="222"/>
    </row>
    <row r="97" spans="1:57">
      <c r="A97" s="1326">
        <v>27</v>
      </c>
      <c r="B97" s="1273" t="s">
        <v>191</v>
      </c>
      <c r="C97" s="1087" t="s">
        <v>192</v>
      </c>
      <c r="D97" s="1105">
        <v>87426</v>
      </c>
      <c r="E97" s="1092" t="s">
        <v>186</v>
      </c>
      <c r="F97" s="1112" t="s">
        <v>21</v>
      </c>
      <c r="G97" s="1239" t="s">
        <v>177</v>
      </c>
      <c r="H97" s="490" t="s">
        <v>23</v>
      </c>
      <c r="I97" s="558">
        <v>45658</v>
      </c>
      <c r="J97" s="201" t="s">
        <v>193</v>
      </c>
      <c r="K97" s="559"/>
      <c r="L97" s="201"/>
      <c r="M97" s="201"/>
      <c r="N97" s="201"/>
      <c r="O97" s="201"/>
      <c r="P97" s="201"/>
      <c r="Q97" s="575"/>
      <c r="R97" s="439"/>
      <c r="S97" s="201"/>
      <c r="T97" s="201"/>
      <c r="U97" s="201"/>
      <c r="V97" s="201"/>
      <c r="W97" s="346"/>
      <c r="X97" s="201"/>
      <c r="Y97" s="579"/>
      <c r="Z97" s="201"/>
      <c r="AA97" s="201"/>
      <c r="AB97" s="201"/>
      <c r="AC97" s="201"/>
      <c r="AD97" s="201"/>
      <c r="AE97" s="575"/>
      <c r="AF97" s="439"/>
      <c r="AG97" s="201"/>
      <c r="AH97" s="201"/>
      <c r="AI97" s="201"/>
      <c r="AJ97" s="201"/>
      <c r="AK97" s="201"/>
      <c r="AL97" s="201"/>
      <c r="AM97" s="201"/>
      <c r="AN97" s="201"/>
      <c r="AO97" s="201"/>
      <c r="AP97" s="201"/>
      <c r="AQ97" s="201"/>
      <c r="AR97" s="201"/>
      <c r="AS97" s="201"/>
      <c r="AT97" s="201"/>
      <c r="AU97" s="201"/>
      <c r="AV97" s="201"/>
      <c r="AW97" s="596"/>
      <c r="AX97" s="596"/>
      <c r="AY97" s="596"/>
      <c r="AZ97" s="596"/>
      <c r="BA97" s="1385">
        <f t="shared" ref="BA97" si="9">D97</f>
        <v>87426</v>
      </c>
      <c r="BB97" s="241">
        <f>M97+O97+Q97+S97+U97+W97+Y97+AA97+AC97+AE97+AG97+AI97+AK97+AM97+AO97+AQ97+AS97+AU97</f>
        <v>0</v>
      </c>
      <c r="BC97" s="267">
        <f>M97+O97+Q97+S97+U97+W97+Y97+AA97+AC97+AE97+AG97+AI97+AK97+AM97+AO97+AQ97+AS97+AU97</f>
        <v>0</v>
      </c>
      <c r="BD97" s="268"/>
    </row>
    <row r="98" spans="1:57" ht="14.1">
      <c r="A98" s="1327"/>
      <c r="B98" s="1274"/>
      <c r="C98" s="1088"/>
      <c r="D98" s="1106"/>
      <c r="E98" s="1093"/>
      <c r="F98" s="1113"/>
      <c r="G98" s="1276"/>
      <c r="H98" s="497" t="s">
        <v>25</v>
      </c>
      <c r="I98" s="564">
        <v>45748</v>
      </c>
      <c r="J98" s="212" t="s">
        <v>194</v>
      </c>
      <c r="K98" s="565"/>
      <c r="L98" s="212"/>
      <c r="M98" s="212"/>
      <c r="N98" s="212"/>
      <c r="O98" s="212"/>
      <c r="P98" s="212"/>
      <c r="Q98" s="577"/>
      <c r="R98" s="422"/>
      <c r="S98" s="212"/>
      <c r="T98" s="212"/>
      <c r="U98" s="212"/>
      <c r="V98" s="212"/>
      <c r="W98" s="580">
        <f>D97/2</f>
        <v>43713</v>
      </c>
      <c r="X98" s="581" t="s">
        <v>195</v>
      </c>
      <c r="Y98" s="552"/>
      <c r="Z98" s="212"/>
      <c r="AA98" s="212"/>
      <c r="AB98" s="212"/>
      <c r="AC98" s="212"/>
      <c r="AD98" s="212"/>
      <c r="AE98" s="577"/>
      <c r="AF98" s="422"/>
      <c r="AG98" s="582">
        <f>D97/2</f>
        <v>43713</v>
      </c>
      <c r="AH98" s="212"/>
      <c r="AI98" s="583"/>
      <c r="AJ98" s="212"/>
      <c r="AK98" s="212"/>
      <c r="AL98" s="212"/>
      <c r="AM98" s="212"/>
      <c r="AN98" s="212"/>
      <c r="AO98" s="212"/>
      <c r="AP98" s="212"/>
      <c r="AQ98" s="212"/>
      <c r="AR98" s="212"/>
      <c r="AS98" s="212"/>
      <c r="AT98" s="212"/>
      <c r="AU98" s="212"/>
      <c r="AV98" s="212"/>
      <c r="AW98" s="356"/>
      <c r="AX98" s="356"/>
      <c r="AY98" s="356"/>
      <c r="AZ98" s="356"/>
      <c r="BA98" s="1383"/>
      <c r="BB98" s="253"/>
      <c r="BC98" s="218"/>
      <c r="BD98" s="254">
        <f>M98+O98+Q98+S98+U98+W98+Y98+AA98+AC98+AE98+AG98+AI98+AK98+AM98+AO98+AQ98+AS98+AU98</f>
        <v>87426</v>
      </c>
    </row>
    <row r="99" spans="1:57">
      <c r="A99" s="1327"/>
      <c r="B99" s="1274"/>
      <c r="C99" s="1088"/>
      <c r="D99" s="1106"/>
      <c r="E99" s="1093"/>
      <c r="F99" s="1113"/>
      <c r="G99" s="1276"/>
      <c r="H99" s="497" t="s">
        <v>27</v>
      </c>
      <c r="I99" s="564">
        <v>45839</v>
      </c>
      <c r="J99" s="212" t="s">
        <v>190</v>
      </c>
      <c r="K99" s="565"/>
      <c r="L99" s="212"/>
      <c r="M99" s="212"/>
      <c r="N99" s="212"/>
      <c r="O99" s="212"/>
      <c r="P99" s="212"/>
      <c r="Q99" s="577"/>
      <c r="R99" s="422"/>
      <c r="S99" s="212"/>
      <c r="T99" s="212"/>
      <c r="U99" s="212"/>
      <c r="V99" s="212"/>
      <c r="W99" s="212"/>
      <c r="X99" s="212"/>
      <c r="Y99" s="552"/>
      <c r="Z99" s="212"/>
      <c r="AA99" s="212"/>
      <c r="AB99" s="212"/>
      <c r="AC99" s="212"/>
      <c r="AD99" s="212"/>
      <c r="AE99" s="577"/>
      <c r="AF99" s="422"/>
      <c r="AG99" s="212"/>
      <c r="AH99" s="212"/>
      <c r="AI99" s="212"/>
      <c r="AJ99" s="212"/>
      <c r="AK99" s="212"/>
      <c r="AL99" s="212"/>
      <c r="AM99" s="212"/>
      <c r="AN99" s="212"/>
      <c r="AO99" s="212"/>
      <c r="AP99" s="212"/>
      <c r="AQ99" s="212"/>
      <c r="AR99" s="212"/>
      <c r="AS99" s="212"/>
      <c r="AT99" s="212"/>
      <c r="AU99" s="212"/>
      <c r="AV99" s="212"/>
      <c r="AW99" s="356"/>
      <c r="AX99" s="356"/>
      <c r="AY99" s="356"/>
      <c r="AZ99" s="356"/>
      <c r="BA99" s="1383"/>
      <c r="BB99" s="253"/>
      <c r="BC99" s="218"/>
      <c r="BD99" s="222"/>
    </row>
    <row r="100" spans="1:57" ht="14.1" thickBot="1">
      <c r="A100" s="1328"/>
      <c r="B100" s="1275"/>
      <c r="C100" s="1088"/>
      <c r="D100" s="1107"/>
      <c r="E100" s="1094"/>
      <c r="F100" s="1113"/>
      <c r="G100" s="1214"/>
      <c r="H100" s="373" t="s">
        <v>30</v>
      </c>
      <c r="I100" s="570">
        <v>45931</v>
      </c>
      <c r="J100" s="229"/>
      <c r="K100" s="571"/>
      <c r="L100" s="229"/>
      <c r="M100" s="229"/>
      <c r="N100" s="229"/>
      <c r="O100" s="229"/>
      <c r="P100" s="229"/>
      <c r="Q100" s="371"/>
      <c r="R100" s="433"/>
      <c r="S100" s="229"/>
      <c r="T100" s="229"/>
      <c r="U100" s="229"/>
      <c r="V100" s="229"/>
      <c r="W100" s="229"/>
      <c r="X100" s="229"/>
      <c r="Y100" s="574"/>
      <c r="Z100" s="229"/>
      <c r="AA100" s="229"/>
      <c r="AB100" s="229"/>
      <c r="AC100" s="229"/>
      <c r="AD100" s="229"/>
      <c r="AE100" s="371"/>
      <c r="AF100" s="433"/>
      <c r="AG100" s="229"/>
      <c r="AH100" s="229"/>
      <c r="AI100" s="229"/>
      <c r="AJ100" s="229"/>
      <c r="AK100" s="229"/>
      <c r="AL100" s="229"/>
      <c r="AM100" s="229"/>
      <c r="AN100" s="229"/>
      <c r="AO100" s="229"/>
      <c r="AP100" s="229"/>
      <c r="AQ100" s="229"/>
      <c r="AR100" s="229"/>
      <c r="AS100" s="229"/>
      <c r="AT100" s="229"/>
      <c r="AU100" s="229"/>
      <c r="AV100" s="229"/>
      <c r="AW100" s="356"/>
      <c r="AX100" s="356"/>
      <c r="AY100" s="356"/>
      <c r="AZ100" s="356"/>
      <c r="BA100" s="1383"/>
      <c r="BB100" s="253"/>
      <c r="BC100" s="218"/>
      <c r="BD100" s="222"/>
    </row>
    <row r="101" spans="1:57">
      <c r="A101" s="1326">
        <v>28</v>
      </c>
      <c r="B101" s="1329" t="s">
        <v>196</v>
      </c>
      <c r="C101" s="1085" t="s">
        <v>197</v>
      </c>
      <c r="D101" s="1105">
        <v>50000</v>
      </c>
      <c r="E101" s="1092" t="s">
        <v>198</v>
      </c>
      <c r="F101" s="1112" t="s">
        <v>21</v>
      </c>
      <c r="G101" s="1239" t="s">
        <v>199</v>
      </c>
      <c r="H101" s="490" t="s">
        <v>23</v>
      </c>
      <c r="I101" s="558">
        <v>45658</v>
      </c>
      <c r="J101" s="201" t="s">
        <v>200</v>
      </c>
      <c r="K101" s="559"/>
      <c r="L101" s="201"/>
      <c r="M101" s="201"/>
      <c r="N101" s="201"/>
      <c r="O101" s="201"/>
      <c r="P101" s="201"/>
      <c r="Q101" s="575"/>
      <c r="R101" s="439"/>
      <c r="S101" s="201"/>
      <c r="T101" s="201"/>
      <c r="U101" s="201"/>
      <c r="V101" s="266"/>
      <c r="W101" s="495">
        <f>D101</f>
        <v>50000</v>
      </c>
      <c r="X101" s="1398" t="s">
        <v>201</v>
      </c>
      <c r="Y101" s="579"/>
      <c r="Z101" s="201"/>
      <c r="AA101" s="201"/>
      <c r="AB101" s="201"/>
      <c r="AC101" s="201"/>
      <c r="AD101" s="201"/>
      <c r="AE101" s="575"/>
      <c r="AF101" s="439"/>
      <c r="AG101" s="201"/>
      <c r="AH101" s="201"/>
      <c r="AI101" s="201"/>
      <c r="AJ101" s="201"/>
      <c r="AK101" s="201"/>
      <c r="AL101" s="201"/>
      <c r="AM101" s="201"/>
      <c r="AN101" s="201"/>
      <c r="AO101" s="201"/>
      <c r="AP101" s="201"/>
      <c r="AQ101" s="201"/>
      <c r="AR101" s="201"/>
      <c r="AS101" s="201"/>
      <c r="AT101" s="201"/>
      <c r="AU101" s="201"/>
      <c r="AV101" s="201"/>
      <c r="AW101" s="596"/>
      <c r="AX101" s="596"/>
      <c r="AY101" s="596"/>
      <c r="AZ101" s="596"/>
      <c r="BA101" s="1385">
        <f t="shared" ref="BA101" si="10">D101</f>
        <v>50000</v>
      </c>
      <c r="BB101" s="241">
        <f>M101+O101+Q101+S101+U101+W101+Y101+AA101+AC101+AE101+AG101+AI101+AK101+AM101+AO101+AQ101+AS101+AU101</f>
        <v>50000</v>
      </c>
      <c r="BC101" s="267">
        <f>M101+O101+Q101+S101+U101+W101+Y101+AA101+AC101+AE101+AG101+AI101+AK101+AM101+AO101+AQ101+AS101+AU101</f>
        <v>50000</v>
      </c>
      <c r="BD101" s="268"/>
    </row>
    <row r="102" spans="1:57" ht="14.1">
      <c r="A102" s="1327"/>
      <c r="B102" s="1330"/>
      <c r="C102" s="1086"/>
      <c r="D102" s="1106"/>
      <c r="E102" s="1093"/>
      <c r="F102" s="1113"/>
      <c r="G102" s="1276"/>
      <c r="H102" s="497" t="s">
        <v>25</v>
      </c>
      <c r="I102" s="564">
        <v>45748</v>
      </c>
      <c r="J102" s="212" t="s">
        <v>194</v>
      </c>
      <c r="K102" s="565"/>
      <c r="L102" s="212"/>
      <c r="M102" s="212"/>
      <c r="N102" s="212"/>
      <c r="O102" s="212"/>
      <c r="P102" s="212"/>
      <c r="Q102" s="577"/>
      <c r="R102" s="422"/>
      <c r="S102" s="212"/>
      <c r="T102" s="212"/>
      <c r="U102" s="212"/>
      <c r="V102" s="212"/>
      <c r="W102" s="584"/>
      <c r="X102" s="1363"/>
      <c r="Y102" s="552"/>
      <c r="Z102" s="212"/>
      <c r="AA102" s="212"/>
      <c r="AB102" s="212"/>
      <c r="AC102" s="212"/>
      <c r="AD102" s="212"/>
      <c r="AE102" s="577"/>
      <c r="AF102" s="422"/>
      <c r="AG102" s="212"/>
      <c r="AH102" s="212"/>
      <c r="AI102" s="212"/>
      <c r="AJ102" s="212"/>
      <c r="AK102" s="212"/>
      <c r="AL102" s="212"/>
      <c r="AM102" s="212"/>
      <c r="AN102" s="212"/>
      <c r="AO102" s="212"/>
      <c r="AP102" s="212"/>
      <c r="AQ102" s="212"/>
      <c r="AR102" s="212"/>
      <c r="AS102" s="212"/>
      <c r="AT102" s="212"/>
      <c r="AU102" s="212"/>
      <c r="AV102" s="212"/>
      <c r="AW102" s="356"/>
      <c r="AX102" s="356"/>
      <c r="AY102" s="356"/>
      <c r="AZ102" s="356"/>
      <c r="BA102" s="1383"/>
      <c r="BB102" s="253"/>
      <c r="BC102" s="218"/>
      <c r="BD102" s="254">
        <f>M102+O102+Q102+S102+U102+W102+Y102+AA102+AC102+AE102+AG102+AI102+AK102+AM102+AO102+AQ102+AS102+AU102</f>
        <v>0</v>
      </c>
    </row>
    <row r="103" spans="1:57">
      <c r="A103" s="1327"/>
      <c r="B103" s="1330"/>
      <c r="C103" s="1086"/>
      <c r="D103" s="1106"/>
      <c r="E103" s="1093"/>
      <c r="F103" s="1113"/>
      <c r="G103" s="1276"/>
      <c r="H103" s="497" t="s">
        <v>27</v>
      </c>
      <c r="I103" s="564">
        <v>45839</v>
      </c>
      <c r="J103" s="212" t="s">
        <v>190</v>
      </c>
      <c r="K103" s="565"/>
      <c r="L103" s="212"/>
      <c r="M103" s="212"/>
      <c r="N103" s="212"/>
      <c r="O103" s="212"/>
      <c r="P103" s="212"/>
      <c r="Q103" s="577"/>
      <c r="R103" s="422"/>
      <c r="S103" s="212"/>
      <c r="T103" s="212"/>
      <c r="U103" s="212"/>
      <c r="V103" s="212"/>
      <c r="W103" s="584"/>
      <c r="X103" s="1363"/>
      <c r="Y103" s="552"/>
      <c r="Z103" s="212"/>
      <c r="AA103" s="212"/>
      <c r="AB103" s="212"/>
      <c r="AC103" s="212"/>
      <c r="AD103" s="212"/>
      <c r="AE103" s="577"/>
      <c r="AF103" s="422"/>
      <c r="AG103" s="212"/>
      <c r="AH103" s="212"/>
      <c r="AI103" s="212"/>
      <c r="AJ103" s="212"/>
      <c r="AK103" s="212"/>
      <c r="AL103" s="212"/>
      <c r="AM103" s="212"/>
      <c r="AN103" s="212"/>
      <c r="AO103" s="212"/>
      <c r="AP103" s="212"/>
      <c r="AQ103" s="212"/>
      <c r="AR103" s="212"/>
      <c r="AS103" s="212"/>
      <c r="AT103" s="212"/>
      <c r="AU103" s="212"/>
      <c r="AV103" s="212"/>
      <c r="AW103" s="356"/>
      <c r="AX103" s="356"/>
      <c r="AY103" s="356"/>
      <c r="AZ103" s="356"/>
      <c r="BA103" s="1383"/>
      <c r="BB103" s="253"/>
      <c r="BC103" s="218"/>
      <c r="BD103" s="222"/>
    </row>
    <row r="104" spans="1:57" ht="14.1" thickBot="1">
      <c r="A104" s="1328"/>
      <c r="B104" s="1331"/>
      <c r="C104" s="1086"/>
      <c r="D104" s="1107"/>
      <c r="E104" s="1094"/>
      <c r="F104" s="1113"/>
      <c r="G104" s="1214"/>
      <c r="H104" s="373" t="s">
        <v>30</v>
      </c>
      <c r="I104" s="570">
        <v>45931</v>
      </c>
      <c r="J104" s="229"/>
      <c r="K104" s="571"/>
      <c r="L104" s="229"/>
      <c r="M104" s="229"/>
      <c r="N104" s="229"/>
      <c r="O104" s="229"/>
      <c r="P104" s="229"/>
      <c r="Q104" s="371"/>
      <c r="R104" s="433"/>
      <c r="S104" s="229"/>
      <c r="T104" s="229"/>
      <c r="U104" s="229"/>
      <c r="V104" s="229"/>
      <c r="W104" s="584"/>
      <c r="X104" s="1363"/>
      <c r="Y104" s="574"/>
      <c r="Z104" s="229"/>
      <c r="AA104" s="229"/>
      <c r="AB104" s="229"/>
      <c r="AC104" s="229"/>
      <c r="AD104" s="229"/>
      <c r="AE104" s="371"/>
      <c r="AF104" s="433"/>
      <c r="AG104" s="229"/>
      <c r="AH104" s="229"/>
      <c r="AI104" s="229"/>
      <c r="AJ104" s="229"/>
      <c r="AK104" s="229"/>
      <c r="AL104" s="229"/>
      <c r="AM104" s="229"/>
      <c r="AN104" s="229"/>
      <c r="AO104" s="229"/>
      <c r="AP104" s="229"/>
      <c r="AQ104" s="229"/>
      <c r="AR104" s="229"/>
      <c r="AS104" s="229"/>
      <c r="AT104" s="229"/>
      <c r="AU104" s="229"/>
      <c r="AV104" s="229"/>
      <c r="AW104" s="356"/>
      <c r="AX104" s="356"/>
      <c r="AY104" s="356"/>
      <c r="AZ104" s="356"/>
      <c r="BA104" s="1383"/>
      <c r="BB104" s="253"/>
      <c r="BC104" s="218"/>
      <c r="BD104" s="222"/>
    </row>
    <row r="105" spans="1:57" ht="15.75" customHeight="1" thickBot="1">
      <c r="A105" s="1340">
        <v>29</v>
      </c>
      <c r="B105" s="1347" t="s">
        <v>202</v>
      </c>
      <c r="C105" s="1228" t="s">
        <v>86</v>
      </c>
      <c r="D105" s="1097">
        <v>422500</v>
      </c>
      <c r="E105" s="1100" t="s">
        <v>203</v>
      </c>
      <c r="F105" s="1089" t="s">
        <v>21</v>
      </c>
      <c r="G105" s="1290" t="s">
        <v>103</v>
      </c>
      <c r="H105" s="510" t="s">
        <v>220</v>
      </c>
      <c r="I105" s="585">
        <v>46016</v>
      </c>
      <c r="J105" s="492" t="s">
        <v>204</v>
      </c>
      <c r="K105" s="586"/>
      <c r="L105" s="201"/>
      <c r="M105" s="201"/>
      <c r="N105" s="201"/>
      <c r="O105" s="201"/>
      <c r="P105" s="201"/>
      <c r="Q105" s="575"/>
      <c r="R105" s="439"/>
      <c r="S105" s="201"/>
      <c r="T105" s="201"/>
      <c r="U105" s="201"/>
      <c r="V105" s="266"/>
      <c r="W105" s="528"/>
      <c r="X105" s="563"/>
      <c r="Y105" s="579"/>
      <c r="Z105" s="201"/>
      <c r="AA105" s="576">
        <v>105625</v>
      </c>
      <c r="AB105" s="1362" t="s">
        <v>727</v>
      </c>
      <c r="AC105" s="339"/>
      <c r="AD105" s="201"/>
      <c r="AE105" s="575"/>
      <c r="AF105" s="439"/>
      <c r="AG105" s="576">
        <v>105652</v>
      </c>
      <c r="AH105" s="1362" t="s">
        <v>731</v>
      </c>
      <c r="AI105" s="346"/>
      <c r="AJ105" s="201"/>
      <c r="AK105" s="201"/>
      <c r="AL105" s="201"/>
      <c r="AM105" s="201"/>
      <c r="AN105" s="201"/>
      <c r="AO105" s="346"/>
      <c r="AP105" s="201"/>
      <c r="AQ105" s="201"/>
      <c r="AR105" s="201"/>
      <c r="AS105" s="201"/>
      <c r="AT105" s="201"/>
      <c r="AU105" s="201"/>
      <c r="AV105" s="201"/>
      <c r="AW105" s="596"/>
      <c r="AX105" s="596"/>
      <c r="AY105" s="596"/>
      <c r="AZ105" s="596"/>
      <c r="BA105" s="1385">
        <f>D105</f>
        <v>422500</v>
      </c>
      <c r="BB105" s="241">
        <f>M105+O105+Q105+S105+U105+W105+Y105+AA105+AC105+AE105+AG105+AI105+AK105+AM105+AO105+AQ105+AS105+AU105</f>
        <v>211277</v>
      </c>
      <c r="BC105" s="267">
        <f>M105+O105+Q105+S105+U105+W105+Y105+AA105+AC105+AE105+AG105+AI105+AK105+AM105+AO105+AQ105+AS105+AU105</f>
        <v>211277</v>
      </c>
      <c r="BD105" s="268"/>
    </row>
    <row r="106" spans="1:57" ht="14.4">
      <c r="A106" s="1341"/>
      <c r="B106" s="1266"/>
      <c r="C106" s="1229"/>
      <c r="D106" s="1098"/>
      <c r="E106" s="1101"/>
      <c r="F106" s="1090"/>
      <c r="G106" s="1243"/>
      <c r="H106" s="517" t="s">
        <v>25</v>
      </c>
      <c r="I106" s="587">
        <v>46106</v>
      </c>
      <c r="J106" s="188" t="s">
        <v>194</v>
      </c>
      <c r="K106" s="588"/>
      <c r="L106" s="212"/>
      <c r="M106" s="212"/>
      <c r="N106" s="212"/>
      <c r="O106" s="212"/>
      <c r="P106" s="212"/>
      <c r="Q106" s="577"/>
      <c r="R106" s="422"/>
      <c r="S106" s="212"/>
      <c r="T106" s="212"/>
      <c r="U106" s="212"/>
      <c r="V106" s="279"/>
      <c r="W106" s="502"/>
      <c r="X106" s="589"/>
      <c r="Y106" s="552"/>
      <c r="Z106" s="212"/>
      <c r="AA106" s="578"/>
      <c r="AB106" s="1363"/>
      <c r="AC106" s="343"/>
      <c r="AD106" s="760"/>
      <c r="AE106" s="577"/>
      <c r="AF106" s="422"/>
      <c r="AG106" s="703"/>
      <c r="AH106" s="1363"/>
      <c r="AI106" s="697"/>
      <c r="AJ106" s="212"/>
      <c r="AK106" s="212"/>
      <c r="AL106" s="212"/>
      <c r="AM106" s="699">
        <f>AG105</f>
        <v>105652</v>
      </c>
      <c r="AN106" s="600" t="s">
        <v>726</v>
      </c>
      <c r="AO106" s="697"/>
      <c r="AP106" s="212"/>
      <c r="AQ106" s="212"/>
      <c r="AR106" s="212"/>
      <c r="AS106" s="699">
        <f>AM106</f>
        <v>105652</v>
      </c>
      <c r="AT106" s="600" t="s">
        <v>726</v>
      </c>
      <c r="AU106" s="697"/>
      <c r="AV106" s="212"/>
      <c r="AW106" s="356"/>
      <c r="AX106" s="356"/>
      <c r="AY106" s="356"/>
      <c r="AZ106" s="356"/>
      <c r="BA106" s="1383"/>
      <c r="BB106" s="253"/>
      <c r="BC106" s="218"/>
      <c r="BD106" s="254">
        <f>M106+O106+Q106+S106+U106+W106+Y106+AA106+AC106+AE106+AG106+AI106+AK106+AM106+AO106+AQ106+AS106+AU106</f>
        <v>211304</v>
      </c>
      <c r="BE106" s="762"/>
    </row>
    <row r="107" spans="1:57" ht="14.4">
      <c r="A107" s="1341"/>
      <c r="B107" s="1266"/>
      <c r="C107" s="1229"/>
      <c r="D107" s="1098"/>
      <c r="E107" s="1101"/>
      <c r="F107" s="1090"/>
      <c r="G107" s="1243"/>
      <c r="H107" s="517" t="s">
        <v>27</v>
      </c>
      <c r="I107" s="587">
        <v>46198</v>
      </c>
      <c r="J107" s="188" t="s">
        <v>205</v>
      </c>
      <c r="K107" s="588"/>
      <c r="L107" s="212"/>
      <c r="M107" s="212"/>
      <c r="N107" s="212"/>
      <c r="O107" s="212"/>
      <c r="P107" s="212"/>
      <c r="Q107" s="577"/>
      <c r="R107" s="422"/>
      <c r="S107" s="212"/>
      <c r="T107" s="212"/>
      <c r="U107" s="212"/>
      <c r="V107" s="279"/>
      <c r="W107" s="502"/>
      <c r="X107" s="589"/>
      <c r="Y107" s="552"/>
      <c r="Z107" s="212"/>
      <c r="AA107" s="770"/>
      <c r="AB107" s="1363"/>
      <c r="AC107" s="343"/>
      <c r="AD107" s="212"/>
      <c r="AE107" s="577"/>
      <c r="AF107" s="422"/>
      <c r="AG107" s="578"/>
      <c r="AH107" s="1364"/>
      <c r="AI107" s="356"/>
      <c r="AJ107" s="212"/>
      <c r="AK107" s="212"/>
      <c r="AL107" s="212"/>
      <c r="AM107" s="212"/>
      <c r="AN107" s="212"/>
      <c r="AO107" s="356"/>
      <c r="AP107" s="212"/>
      <c r="AQ107" s="212"/>
      <c r="AR107" s="212"/>
      <c r="AS107" s="212"/>
      <c r="AT107" s="212"/>
      <c r="AU107" s="356"/>
      <c r="AV107" s="212"/>
      <c r="AW107" s="356"/>
      <c r="AX107" s="356"/>
      <c r="AY107" s="356"/>
      <c r="AZ107" s="356"/>
      <c r="BA107" s="1383"/>
      <c r="BB107" s="253"/>
      <c r="BC107" s="218"/>
      <c r="BD107" s="222"/>
      <c r="BE107" s="701"/>
    </row>
    <row r="108" spans="1:57" ht="14.7" thickBot="1">
      <c r="A108" s="1348"/>
      <c r="B108" s="1397"/>
      <c r="C108" s="1229"/>
      <c r="D108" s="1099"/>
      <c r="E108" s="1102"/>
      <c r="F108" s="1091"/>
      <c r="G108" s="1244"/>
      <c r="H108" s="519" t="s">
        <v>30</v>
      </c>
      <c r="I108" s="556">
        <v>46290</v>
      </c>
      <c r="J108" s="198">
        <v>0</v>
      </c>
      <c r="K108" s="591"/>
      <c r="L108" s="229"/>
      <c r="M108" s="229"/>
      <c r="N108" s="229"/>
      <c r="O108" s="229"/>
      <c r="P108" s="229"/>
      <c r="Q108" s="371"/>
      <c r="R108" s="433"/>
      <c r="S108" s="229"/>
      <c r="T108" s="229"/>
      <c r="U108" s="229"/>
      <c r="V108" s="592"/>
      <c r="W108" s="593"/>
      <c r="X108" s="594"/>
      <c r="Y108" s="574"/>
      <c r="Z108" s="229"/>
      <c r="AA108" s="569"/>
      <c r="AB108" s="1396"/>
      <c r="AC108" s="761"/>
      <c r="AD108" s="229"/>
      <c r="AE108" s="371"/>
      <c r="AF108" s="433"/>
      <c r="AG108" s="569"/>
      <c r="AH108" s="1365"/>
      <c r="AI108" s="356"/>
      <c r="AJ108" s="229"/>
      <c r="AK108" s="229"/>
      <c r="AL108" s="229"/>
      <c r="AM108" s="229"/>
      <c r="AN108" s="229"/>
      <c r="AO108" s="356"/>
      <c r="AP108" s="229"/>
      <c r="AQ108" s="229"/>
      <c r="AR108" s="229"/>
      <c r="AS108" s="229"/>
      <c r="AT108" s="229"/>
      <c r="AU108" s="356"/>
      <c r="AV108" s="229"/>
      <c r="AW108" s="356"/>
      <c r="AX108" s="356"/>
      <c r="AY108" s="356"/>
      <c r="AZ108" s="356"/>
      <c r="BA108" s="1383"/>
      <c r="BB108" s="253"/>
      <c r="BC108" s="218"/>
      <c r="BD108" s="222"/>
      <c r="BE108" s="701"/>
    </row>
    <row r="109" spans="1:57" ht="15" customHeight="1">
      <c r="A109" s="1332">
        <v>30</v>
      </c>
      <c r="B109" s="1392" t="s">
        <v>206</v>
      </c>
      <c r="C109" s="1394" t="s">
        <v>207</v>
      </c>
      <c r="D109" s="1351">
        <v>953282</v>
      </c>
      <c r="E109" s="1353" t="s">
        <v>208</v>
      </c>
      <c r="F109" s="1310" t="s">
        <v>21</v>
      </c>
      <c r="G109" s="1312" t="s">
        <v>22</v>
      </c>
      <c r="H109" s="667" t="s">
        <v>23</v>
      </c>
      <c r="I109" s="668">
        <v>46016</v>
      </c>
      <c r="J109" s="669" t="s">
        <v>209</v>
      </c>
      <c r="K109" s="670"/>
      <c r="L109" s="374"/>
      <c r="M109" s="374"/>
      <c r="N109" s="374"/>
      <c r="O109" s="374"/>
      <c r="P109" s="374"/>
      <c r="Q109" s="671"/>
      <c r="R109" s="411"/>
      <c r="S109" s="374"/>
      <c r="T109" s="374"/>
      <c r="U109" s="374"/>
      <c r="V109" s="672"/>
      <c r="W109" s="673"/>
      <c r="X109" s="674"/>
      <c r="Y109" s="675"/>
      <c r="Z109" s="374"/>
      <c r="AA109" s="707">
        <v>238320.5</v>
      </c>
      <c r="AB109" s="707"/>
      <c r="AC109" s="676"/>
      <c r="AD109" s="374"/>
      <c r="AE109" s="671"/>
      <c r="AF109" s="411"/>
      <c r="AG109" s="707">
        <v>238320.5</v>
      </c>
      <c r="AH109" s="1362" t="s">
        <v>737</v>
      </c>
      <c r="AI109" s="676"/>
      <c r="AJ109" s="374"/>
      <c r="AK109" s="374"/>
      <c r="AL109" s="374"/>
      <c r="AM109" s="374"/>
      <c r="AN109" s="374"/>
      <c r="AO109" s="676"/>
      <c r="AP109" s="374"/>
      <c r="AQ109" s="374"/>
      <c r="AR109" s="374"/>
      <c r="AS109" s="374"/>
      <c r="AT109" s="374"/>
      <c r="AU109" s="676"/>
      <c r="AV109" s="374"/>
      <c r="AW109" s="755"/>
      <c r="AX109" s="755"/>
      <c r="AY109" s="755"/>
      <c r="AZ109" s="755"/>
      <c r="BA109" s="1387">
        <f t="shared" ref="BA109" si="11">D109</f>
        <v>953282</v>
      </c>
      <c r="BB109" s="677">
        <f>M109+O109+Q109+S109+U109+W109+Y109+AA109+AC109+AE109+AG109+AI109+AK109+AM109+AO109+AQ109+AS109+AU109</f>
        <v>476641</v>
      </c>
      <c r="BC109" s="678">
        <f>M109+O109+Q109+S109+U109+W109+Y109+AA109+AC109+AE109+AG109+AI109+AK109+AM109+AO109+AQ109+AS109+AU109</f>
        <v>476641</v>
      </c>
      <c r="BD109" s="679"/>
      <c r="BE109" s="701"/>
    </row>
    <row r="110" spans="1:57" ht="14.4">
      <c r="A110" s="1333"/>
      <c r="B110" s="1266"/>
      <c r="C110" s="1229"/>
      <c r="D110" s="1098"/>
      <c r="E110" s="1101"/>
      <c r="F110" s="1090"/>
      <c r="G110" s="1240"/>
      <c r="H110" s="517" t="s">
        <v>25</v>
      </c>
      <c r="I110" s="587">
        <v>46106</v>
      </c>
      <c r="J110" s="188" t="s">
        <v>194</v>
      </c>
      <c r="K110" s="588"/>
      <c r="L110" s="212"/>
      <c r="M110" s="212"/>
      <c r="N110" s="212"/>
      <c r="O110" s="212"/>
      <c r="P110" s="212"/>
      <c r="Q110" s="577"/>
      <c r="R110" s="422"/>
      <c r="S110" s="212"/>
      <c r="T110" s="212"/>
      <c r="U110" s="212"/>
      <c r="V110" s="279"/>
      <c r="W110" s="502"/>
      <c r="X110" s="589"/>
      <c r="Y110" s="552"/>
      <c r="Z110" s="212"/>
      <c r="AA110" s="703"/>
      <c r="AB110" s="1386" t="s">
        <v>689</v>
      </c>
      <c r="AC110" s="697"/>
      <c r="AD110" s="1379"/>
      <c r="AE110" s="577"/>
      <c r="AF110" s="422"/>
      <c r="AG110" s="578"/>
      <c r="AH110" s="1363"/>
      <c r="AI110" s="697"/>
      <c r="AJ110" s="212"/>
      <c r="AK110" s="212"/>
      <c r="AL110" s="212"/>
      <c r="AM110" s="600">
        <f>AG109</f>
        <v>238320.5</v>
      </c>
      <c r="AN110" s="212"/>
      <c r="AO110" s="697"/>
      <c r="AP110" s="212"/>
      <c r="AQ110" s="212"/>
      <c r="AR110" s="212"/>
      <c r="AS110" s="600">
        <f>AM110</f>
        <v>238320.5</v>
      </c>
      <c r="AT110" s="600"/>
      <c r="AU110" s="697">
        <f>AO110</f>
        <v>0</v>
      </c>
      <c r="AV110" s="212"/>
      <c r="AW110" s="356"/>
      <c r="AX110" s="356"/>
      <c r="AY110" s="356"/>
      <c r="AZ110" s="356"/>
      <c r="BA110" s="1383"/>
      <c r="BB110" s="253"/>
      <c r="BC110" s="218"/>
      <c r="BD110" s="254">
        <f>M110+O110+Q110+S110+U110+W110+Y110+AA110+AC110+AE110+AG110+AI110+AK110+AM110+AO110+AQ110+AS110+AU110</f>
        <v>476641</v>
      </c>
      <c r="BE110" s="701"/>
    </row>
    <row r="111" spans="1:57" ht="14.4">
      <c r="A111" s="1333"/>
      <c r="B111" s="1266"/>
      <c r="C111" s="1229"/>
      <c r="D111" s="1098"/>
      <c r="E111" s="1101"/>
      <c r="F111" s="1090"/>
      <c r="G111" s="1240"/>
      <c r="H111" s="517" t="s">
        <v>27</v>
      </c>
      <c r="I111" s="587">
        <v>46198</v>
      </c>
      <c r="J111" s="188" t="s">
        <v>210</v>
      </c>
      <c r="K111" s="588"/>
      <c r="L111" s="212"/>
      <c r="M111" s="212"/>
      <c r="N111" s="212"/>
      <c r="O111" s="212"/>
      <c r="P111" s="212"/>
      <c r="Q111" s="577"/>
      <c r="R111" s="422"/>
      <c r="S111" s="212"/>
      <c r="T111" s="212"/>
      <c r="U111" s="212"/>
      <c r="V111" s="279"/>
      <c r="W111" s="502"/>
      <c r="X111" s="589"/>
      <c r="Y111" s="552"/>
      <c r="Z111" s="212"/>
      <c r="AA111" s="578"/>
      <c r="AB111" s="1364"/>
      <c r="AC111" s="356"/>
      <c r="AD111" s="1360"/>
      <c r="AE111" s="577"/>
      <c r="AF111" s="422"/>
      <c r="AG111" s="578"/>
      <c r="AH111" s="1364"/>
      <c r="AI111" s="356"/>
      <c r="AJ111" s="212"/>
      <c r="AK111" s="212"/>
      <c r="AL111" s="212"/>
      <c r="AM111" s="212"/>
      <c r="AN111" s="212"/>
      <c r="AO111" s="356"/>
      <c r="AP111" s="212"/>
      <c r="AQ111" s="212"/>
      <c r="AR111" s="212"/>
      <c r="AS111" s="600"/>
      <c r="AT111" s="600"/>
      <c r="AU111" s="356"/>
      <c r="AV111" s="212"/>
      <c r="AW111" s="356"/>
      <c r="AX111" s="356"/>
      <c r="AY111" s="356"/>
      <c r="AZ111" s="356"/>
      <c r="BA111" s="1383"/>
      <c r="BB111" s="253"/>
      <c r="BC111" s="218"/>
      <c r="BD111" s="681"/>
      <c r="BE111" s="701"/>
    </row>
    <row r="112" spans="1:57" ht="14.7" thickBot="1">
      <c r="A112" s="1334"/>
      <c r="B112" s="1393"/>
      <c r="C112" s="1395"/>
      <c r="D112" s="1352"/>
      <c r="E112" s="1354"/>
      <c r="F112" s="1311"/>
      <c r="G112" s="1313"/>
      <c r="H112" s="682" t="s">
        <v>30</v>
      </c>
      <c r="I112" s="683">
        <v>46290</v>
      </c>
      <c r="J112" s="684"/>
      <c r="K112" s="685"/>
      <c r="L112" s="401"/>
      <c r="M112" s="401"/>
      <c r="N112" s="401"/>
      <c r="O112" s="401"/>
      <c r="P112" s="401"/>
      <c r="Q112" s="686"/>
      <c r="R112" s="687"/>
      <c r="S112" s="401"/>
      <c r="T112" s="401"/>
      <c r="U112" s="401"/>
      <c r="V112" s="688"/>
      <c r="W112" s="689"/>
      <c r="X112" s="690"/>
      <c r="Y112" s="691"/>
      <c r="Z112" s="401"/>
      <c r="AA112" s="705"/>
      <c r="AB112" s="1364"/>
      <c r="AC112" s="698"/>
      <c r="AD112" s="1360"/>
      <c r="AE112" s="686"/>
      <c r="AF112" s="687"/>
      <c r="AG112" s="705"/>
      <c r="AH112" s="1365"/>
      <c r="AI112" s="698"/>
      <c r="AJ112" s="401"/>
      <c r="AK112" s="401"/>
      <c r="AL112" s="401"/>
      <c r="AM112" s="401"/>
      <c r="AN112" s="401"/>
      <c r="AO112" s="698"/>
      <c r="AP112" s="401"/>
      <c r="AQ112" s="401"/>
      <c r="AR112" s="401"/>
      <c r="AS112" s="708"/>
      <c r="AT112" s="708"/>
      <c r="AU112" s="698"/>
      <c r="AV112" s="401"/>
      <c r="AW112" s="698"/>
      <c r="AX112" s="698"/>
      <c r="AY112" s="698"/>
      <c r="AZ112" s="698"/>
      <c r="BA112" s="1388"/>
      <c r="BB112" s="692"/>
      <c r="BC112" s="693"/>
      <c r="BD112" s="694"/>
      <c r="BE112" s="701"/>
    </row>
    <row r="113" spans="1:58" ht="14.7" thickBot="1">
      <c r="A113" s="1332">
        <v>31</v>
      </c>
      <c r="B113" s="1392" t="s">
        <v>687</v>
      </c>
      <c r="C113" s="1394" t="s">
        <v>688</v>
      </c>
      <c r="D113" s="1351">
        <v>810900</v>
      </c>
      <c r="E113" s="1353" t="s">
        <v>699</v>
      </c>
      <c r="F113" s="1310" t="s">
        <v>21</v>
      </c>
      <c r="G113" s="1312" t="s">
        <v>22</v>
      </c>
      <c r="H113" s="667" t="s">
        <v>23</v>
      </c>
      <c r="I113" s="668">
        <v>46016</v>
      </c>
      <c r="J113" s="492" t="s">
        <v>700</v>
      </c>
      <c r="K113" s="670"/>
      <c r="L113" s="374"/>
      <c r="M113" s="374"/>
      <c r="N113" s="374"/>
      <c r="O113" s="374"/>
      <c r="P113" s="374"/>
      <c r="Q113" s="671"/>
      <c r="R113" s="411"/>
      <c r="S113" s="374"/>
      <c r="T113" s="374"/>
      <c r="U113" s="374"/>
      <c r="V113" s="672"/>
      <c r="W113" s="673"/>
      <c r="X113" s="674"/>
      <c r="Y113" s="717">
        <f>D113/6</f>
        <v>135150</v>
      </c>
      <c r="Z113" s="707"/>
      <c r="AA113" s="721">
        <f>Y113</f>
        <v>135150</v>
      </c>
      <c r="AB113" s="1370" t="s">
        <v>704</v>
      </c>
      <c r="AC113" s="721">
        <f>AA113</f>
        <v>135150</v>
      </c>
      <c r="AD113" s="1370" t="s">
        <v>734</v>
      </c>
      <c r="AE113" s="721">
        <f>AC113</f>
        <v>135150</v>
      </c>
      <c r="AF113" s="1370" t="s">
        <v>735</v>
      </c>
      <c r="AG113" s="721">
        <f>AE113</f>
        <v>135150</v>
      </c>
      <c r="AH113" s="1370" t="s">
        <v>736</v>
      </c>
      <c r="AI113" s="717">
        <v>135150</v>
      </c>
      <c r="AJ113" s="707"/>
      <c r="AK113" s="695"/>
      <c r="AL113" s="374"/>
      <c r="AM113" s="695"/>
      <c r="AN113" s="374"/>
      <c r="AO113" s="696"/>
      <c r="AP113" s="374"/>
      <c r="AQ113" s="695"/>
      <c r="AR113" s="374"/>
      <c r="AS113" s="695"/>
      <c r="AT113" s="374"/>
      <c r="AU113" s="696"/>
      <c r="AV113" s="374"/>
      <c r="AW113" s="755"/>
      <c r="AX113" s="755"/>
      <c r="AY113" s="755"/>
      <c r="AZ113" s="755"/>
      <c r="BA113" s="1387">
        <f>D113</f>
        <v>810900</v>
      </c>
      <c r="BB113" s="677">
        <f>M113+O113+Q113+S113+U113+W113+Y113+AA113+AC113+AE113+AG113+AI113+AK113+AM113+AO113+AQ113+AS113+AU113</f>
        <v>810900</v>
      </c>
      <c r="BC113" s="678">
        <f>M113+O113+Q113+S113+U113+W113+Y113+AA113+AC113+AE113+AG113+AI113+AK113+AM113+AO113+AQ113+AS113+AU113</f>
        <v>810900</v>
      </c>
      <c r="BD113" s="679"/>
      <c r="BE113" s="701"/>
    </row>
    <row r="114" spans="1:58" ht="15" customHeight="1">
      <c r="A114" s="1333"/>
      <c r="B114" s="1266"/>
      <c r="C114" s="1229"/>
      <c r="D114" s="1098"/>
      <c r="E114" s="1101"/>
      <c r="F114" s="1090"/>
      <c r="G114" s="1240"/>
      <c r="H114" s="517" t="s">
        <v>25</v>
      </c>
      <c r="I114" s="587">
        <v>46106</v>
      </c>
      <c r="J114" s="188" t="s">
        <v>194</v>
      </c>
      <c r="K114" s="588"/>
      <c r="L114" s="212"/>
      <c r="M114" s="212"/>
      <c r="N114" s="212"/>
      <c r="O114" s="212"/>
      <c r="P114" s="212"/>
      <c r="Q114" s="577"/>
      <c r="R114" s="422"/>
      <c r="S114" s="212"/>
      <c r="T114" s="212"/>
      <c r="U114" s="212"/>
      <c r="V114" s="279"/>
      <c r="W114" s="704"/>
      <c r="X114" s="589"/>
      <c r="Y114" s="718"/>
      <c r="Z114" s="1386" t="s">
        <v>701</v>
      </c>
      <c r="AA114" s="722"/>
      <c r="AB114" s="1371"/>
      <c r="AC114" s="722"/>
      <c r="AD114" s="1371"/>
      <c r="AE114" s="722"/>
      <c r="AF114" s="1371"/>
      <c r="AG114" s="722"/>
      <c r="AH114" s="1371"/>
      <c r="AI114" s="780"/>
      <c r="AJ114" s="1389" t="s">
        <v>752</v>
      </c>
      <c r="AK114" s="583"/>
      <c r="AL114" s="212"/>
      <c r="AM114" s="583"/>
      <c r="AN114" s="212"/>
      <c r="AO114" s="697"/>
      <c r="AP114" s="212"/>
      <c r="AQ114" s="583"/>
      <c r="AR114" s="212"/>
      <c r="AS114" s="583"/>
      <c r="AT114" s="212"/>
      <c r="AU114" s="697"/>
      <c r="AV114" s="212"/>
      <c r="AW114" s="356"/>
      <c r="AX114" s="356"/>
      <c r="AY114" s="356"/>
      <c r="AZ114" s="356"/>
      <c r="BA114" s="1383"/>
      <c r="BB114" s="253"/>
      <c r="BC114" s="218"/>
      <c r="BD114" s="680">
        <f>M114+O114+Q114+S114+U114+W114+Y114+AA114+AC114+AE114+AG114+AI114+AK114+AM114+AO114+AQ114+AS114+AU114</f>
        <v>0</v>
      </c>
    </row>
    <row r="115" spans="1:58">
      <c r="A115" s="1333"/>
      <c r="B115" s="1266"/>
      <c r="C115" s="1229"/>
      <c r="D115" s="1098"/>
      <c r="E115" s="1101"/>
      <c r="F115" s="1090"/>
      <c r="G115" s="1240"/>
      <c r="H115" s="517" t="s">
        <v>27</v>
      </c>
      <c r="I115" s="587">
        <v>46198</v>
      </c>
      <c r="J115" s="188" t="s">
        <v>703</v>
      </c>
      <c r="K115" s="588"/>
      <c r="L115" s="212"/>
      <c r="M115" s="212"/>
      <c r="N115" s="212"/>
      <c r="O115" s="212"/>
      <c r="P115" s="212"/>
      <c r="Q115" s="577"/>
      <c r="R115" s="422"/>
      <c r="S115" s="212"/>
      <c r="T115" s="212"/>
      <c r="U115" s="212"/>
      <c r="V115" s="279"/>
      <c r="W115" s="502"/>
      <c r="X115" s="589"/>
      <c r="Y115" s="719"/>
      <c r="Z115" s="1364"/>
      <c r="AA115" s="723"/>
      <c r="AB115" s="1372"/>
      <c r="AC115" s="723"/>
      <c r="AD115" s="1372"/>
      <c r="AE115" s="723"/>
      <c r="AF115" s="1372"/>
      <c r="AG115" s="723"/>
      <c r="AH115" s="1372"/>
      <c r="AI115" s="573"/>
      <c r="AJ115" s="1390"/>
      <c r="AK115" s="212"/>
      <c r="AL115" s="212"/>
      <c r="AM115" s="212"/>
      <c r="AN115" s="212"/>
      <c r="AO115" s="356"/>
      <c r="AP115" s="212"/>
      <c r="AQ115" s="212"/>
      <c r="AR115" s="212"/>
      <c r="AS115" s="212"/>
      <c r="AT115" s="212"/>
      <c r="AU115" s="356"/>
      <c r="AV115" s="212"/>
      <c r="AW115" s="356"/>
      <c r="AX115" s="356"/>
      <c r="AY115" s="356"/>
      <c r="AZ115" s="356"/>
      <c r="BA115" s="1383"/>
      <c r="BB115" s="253"/>
      <c r="BC115" s="218"/>
      <c r="BD115" s="681"/>
    </row>
    <row r="116" spans="1:58" ht="27" customHeight="1" thickBot="1">
      <c r="A116" s="1334"/>
      <c r="B116" s="1393"/>
      <c r="C116" s="1395"/>
      <c r="D116" s="1352"/>
      <c r="E116" s="1354"/>
      <c r="F116" s="1311"/>
      <c r="G116" s="1313"/>
      <c r="H116" s="682" t="s">
        <v>30</v>
      </c>
      <c r="I116" s="683">
        <v>46290</v>
      </c>
      <c r="J116" s="684"/>
      <c r="K116" s="685"/>
      <c r="L116" s="401"/>
      <c r="M116" s="401"/>
      <c r="N116" s="401"/>
      <c r="O116" s="401"/>
      <c r="P116" s="401"/>
      <c r="Q116" s="686"/>
      <c r="R116" s="687"/>
      <c r="S116" s="401"/>
      <c r="T116" s="401"/>
      <c r="U116" s="401"/>
      <c r="V116" s="688"/>
      <c r="W116" s="689"/>
      <c r="X116" s="690"/>
      <c r="Y116" s="720"/>
      <c r="Z116" s="1364"/>
      <c r="AA116" s="705"/>
      <c r="AB116" s="1373"/>
      <c r="AC116" s="705"/>
      <c r="AD116" s="1373"/>
      <c r="AE116" s="705"/>
      <c r="AF116" s="1373"/>
      <c r="AG116" s="705"/>
      <c r="AH116" s="1373"/>
      <c r="AI116" s="781"/>
      <c r="AJ116" s="1391"/>
      <c r="AK116" s="401"/>
      <c r="AL116" s="401"/>
      <c r="AM116" s="401"/>
      <c r="AN116" s="401"/>
      <c r="AO116" s="698"/>
      <c r="AP116" s="401"/>
      <c r="AQ116" s="401"/>
      <c r="AR116" s="401"/>
      <c r="AS116" s="401"/>
      <c r="AT116" s="401"/>
      <c r="AU116" s="698"/>
      <c r="AV116" s="401"/>
      <c r="AW116" s="698"/>
      <c r="AX116" s="698"/>
      <c r="AY116" s="698"/>
      <c r="AZ116" s="698"/>
      <c r="BA116" s="1388"/>
      <c r="BB116" s="692"/>
      <c r="BC116" s="693"/>
      <c r="BD116" s="694"/>
      <c r="BF116" s="702"/>
    </row>
    <row r="117" spans="1:58" ht="14.1" thickBot="1">
      <c r="A117" s="1340">
        <v>32</v>
      </c>
      <c r="B117" s="1347" t="s">
        <v>211</v>
      </c>
      <c r="C117" s="1228" t="s">
        <v>212</v>
      </c>
      <c r="D117" s="1097">
        <v>1561000</v>
      </c>
      <c r="E117" s="1100" t="s">
        <v>213</v>
      </c>
      <c r="F117" s="1089" t="s">
        <v>21</v>
      </c>
      <c r="G117" s="1278" t="s">
        <v>22</v>
      </c>
      <c r="H117" s="510" t="s">
        <v>23</v>
      </c>
      <c r="I117" s="585">
        <v>45901</v>
      </c>
      <c r="J117" s="492" t="s">
        <v>702</v>
      </c>
      <c r="K117" s="586"/>
      <c r="L117" s="201"/>
      <c r="M117" s="201"/>
      <c r="N117" s="201"/>
      <c r="O117" s="201"/>
      <c r="P117" s="201"/>
      <c r="Q117" s="575"/>
      <c r="R117" s="439"/>
      <c r="S117" s="201"/>
      <c r="T117" s="201"/>
      <c r="U117" s="576">
        <f>495000/4</f>
        <v>123750</v>
      </c>
      <c r="V117" s="1386" t="s">
        <v>698</v>
      </c>
      <c r="W117" s="711"/>
      <c r="X117" s="1355"/>
      <c r="Y117" s="595">
        <f>88833.33</f>
        <v>88833.33</v>
      </c>
      <c r="Z117" s="1370" t="s">
        <v>711</v>
      </c>
      <c r="AA117" s="562">
        <f>88833.33+123750</f>
        <v>212583.33000000002</v>
      </c>
      <c r="AB117" s="1370" t="s">
        <v>732</v>
      </c>
      <c r="AC117" s="595">
        <v>88833.33</v>
      </c>
      <c r="AD117" s="1362" t="s">
        <v>730</v>
      </c>
      <c r="AE117" s="595">
        <v>88833.33</v>
      </c>
      <c r="AF117" s="1362" t="s">
        <v>721</v>
      </c>
      <c r="AG117" s="595">
        <f>123750+88833.33</f>
        <v>212583.33000000002</v>
      </c>
      <c r="AH117" s="1362" t="s">
        <v>733</v>
      </c>
      <c r="AI117" s="595">
        <v>88833.33</v>
      </c>
      <c r="AJ117" s="1370" t="s">
        <v>740</v>
      </c>
      <c r="AK117" s="779">
        <v>88833.33</v>
      </c>
      <c r="AL117" s="1370" t="s">
        <v>744</v>
      </c>
      <c r="AM117" s="596"/>
      <c r="AN117" s="201"/>
      <c r="AO117" s="346"/>
      <c r="AP117" s="201"/>
      <c r="AQ117" s="201"/>
      <c r="AR117" s="201"/>
      <c r="AS117" s="201"/>
      <c r="AT117" s="266"/>
      <c r="AU117" s="597"/>
      <c r="AV117" s="563"/>
      <c r="AW117" s="756"/>
      <c r="AX117" s="756"/>
      <c r="AY117" s="756"/>
      <c r="AZ117" s="756"/>
      <c r="BA117" s="1385">
        <f>D117</f>
        <v>1561000</v>
      </c>
      <c r="BB117" s="241">
        <f>M117+O117+Q117+S117+U117+W117+Y117+AA117+AC117+AE117+AG117+AI117+AK117+AM117+AO117+AQ117+AS117</f>
        <v>993083.31</v>
      </c>
      <c r="BC117" s="732">
        <f>M117+O117+Q117+S117+U117+W117+Y117+AA117+AC117+AE117+AG117+AI117+AK117+AM117+AO117+AQ117+AS117+AU117</f>
        <v>993083.31</v>
      </c>
      <c r="BD117" s="268"/>
      <c r="BF117" s="700"/>
    </row>
    <row r="118" spans="1:58" ht="14.4">
      <c r="A118" s="1341"/>
      <c r="B118" s="1266"/>
      <c r="C118" s="1229"/>
      <c r="D118" s="1098"/>
      <c r="E118" s="1101"/>
      <c r="F118" s="1090"/>
      <c r="G118" s="1240"/>
      <c r="H118" s="517" t="s">
        <v>25</v>
      </c>
      <c r="I118" s="587">
        <v>46023</v>
      </c>
      <c r="J118" s="188" t="s">
        <v>194</v>
      </c>
      <c r="K118" s="588"/>
      <c r="L118" s="212"/>
      <c r="M118" s="212"/>
      <c r="N118" s="212"/>
      <c r="O118" s="212"/>
      <c r="P118" s="212"/>
      <c r="Q118" s="577"/>
      <c r="R118" s="422"/>
      <c r="S118" s="212"/>
      <c r="T118" s="212"/>
      <c r="U118" s="578"/>
      <c r="V118" s="1364"/>
      <c r="W118" s="712"/>
      <c r="X118" s="1356"/>
      <c r="Y118" s="569"/>
      <c r="Z118" s="1371"/>
      <c r="AA118" s="569"/>
      <c r="AB118" s="1371"/>
      <c r="AC118" s="569"/>
      <c r="AD118" s="1363"/>
      <c r="AE118" s="569"/>
      <c r="AF118" s="1363"/>
      <c r="AG118" s="569"/>
      <c r="AH118" s="1363"/>
      <c r="AI118" s="569"/>
      <c r="AJ118" s="1371"/>
      <c r="AK118" s="625"/>
      <c r="AL118" s="1371"/>
      <c r="AM118" s="599">
        <f>88833.33+123750</f>
        <v>212583.33000000002</v>
      </c>
      <c r="AN118" s="589"/>
      <c r="AO118" s="590">
        <v>88833.33</v>
      </c>
      <c r="AP118" s="212"/>
      <c r="AQ118" s="600">
        <v>88833.33</v>
      </c>
      <c r="AR118" s="212"/>
      <c r="AS118" s="600">
        <v>88833.33</v>
      </c>
      <c r="AT118" s="279"/>
      <c r="AU118" s="601">
        <f>AO118</f>
        <v>88833.33</v>
      </c>
      <c r="AV118" s="589"/>
      <c r="AW118" s="757"/>
      <c r="AX118" s="757"/>
      <c r="AY118" s="757"/>
      <c r="AZ118" s="757"/>
      <c r="BA118" s="1383"/>
      <c r="BB118" s="253"/>
      <c r="BC118" s="218"/>
      <c r="BD118" s="254">
        <f>M118+O118+Q118+S118+U118+W118+Y118+AA118+AC118+AE118+AG118+AI118+AK118+AM118+AO118+AQ118+AS118+AU118+AM119+AG119</f>
        <v>567916.65</v>
      </c>
      <c r="BE118" s="701"/>
    </row>
    <row r="119" spans="1:58">
      <c r="A119" s="1341"/>
      <c r="B119" s="1266"/>
      <c r="C119" s="1229"/>
      <c r="D119" s="1098"/>
      <c r="E119" s="1101"/>
      <c r="F119" s="1090"/>
      <c r="G119" s="1240"/>
      <c r="H119" s="517" t="s">
        <v>27</v>
      </c>
      <c r="I119" s="587">
        <v>46143</v>
      </c>
      <c r="J119" s="188" t="s">
        <v>214</v>
      </c>
      <c r="K119" s="588"/>
      <c r="L119" s="212"/>
      <c r="M119" s="212"/>
      <c r="N119" s="212"/>
      <c r="O119" s="212"/>
      <c r="P119" s="212"/>
      <c r="Q119" s="577"/>
      <c r="R119" s="422"/>
      <c r="S119" s="212"/>
      <c r="T119" s="212"/>
      <c r="U119" s="578"/>
      <c r="V119" s="1364"/>
      <c r="W119" s="712"/>
      <c r="X119" s="1356"/>
      <c r="Y119" s="573"/>
      <c r="Z119" s="1372"/>
      <c r="AA119" s="725"/>
      <c r="AB119" s="1372"/>
      <c r="AC119" s="725"/>
      <c r="AD119" s="1364"/>
      <c r="AE119" s="725"/>
      <c r="AF119" s="1364"/>
      <c r="AG119" s="725"/>
      <c r="AH119" s="1364"/>
      <c r="AI119" s="725"/>
      <c r="AJ119" s="1372"/>
      <c r="AK119" s="628"/>
      <c r="AL119" s="1372"/>
      <c r="AM119" s="188"/>
      <c r="AN119" s="602"/>
      <c r="AO119" s="296"/>
      <c r="AP119" s="589"/>
      <c r="AQ119" s="212"/>
      <c r="AR119" s="212"/>
      <c r="AS119" s="212"/>
      <c r="AT119" s="279"/>
      <c r="AU119" s="603"/>
      <c r="AV119" s="589"/>
      <c r="AW119" s="757"/>
      <c r="AX119" s="757"/>
      <c r="AY119" s="757"/>
      <c r="AZ119" s="757"/>
      <c r="BA119" s="1383"/>
      <c r="BB119" s="253"/>
      <c r="BC119" s="218"/>
      <c r="BD119" s="222"/>
    </row>
    <row r="120" spans="1:58" ht="30" customHeight="1" thickBot="1">
      <c r="A120" s="1342"/>
      <c r="B120" s="1267"/>
      <c r="C120" s="1268"/>
      <c r="D120" s="1270"/>
      <c r="E120" s="1272"/>
      <c r="F120" s="1281"/>
      <c r="G120" s="1279"/>
      <c r="H120" s="604" t="s">
        <v>30</v>
      </c>
      <c r="I120" s="605">
        <v>46235</v>
      </c>
      <c r="J120" s="606"/>
      <c r="K120" s="607"/>
      <c r="L120" s="320"/>
      <c r="M120" s="320"/>
      <c r="N120" s="320"/>
      <c r="O120" s="320"/>
      <c r="P120" s="320"/>
      <c r="Q120" s="608"/>
      <c r="R120" s="467"/>
      <c r="S120" s="320"/>
      <c r="T120" s="320"/>
      <c r="U120" s="320"/>
      <c r="V120" s="609"/>
      <c r="W120" s="713"/>
      <c r="X120" s="1380"/>
      <c r="Y120" s="610"/>
      <c r="Z120" s="1373"/>
      <c r="AA120" s="726"/>
      <c r="AB120" s="1373"/>
      <c r="AC120" s="726"/>
      <c r="AD120" s="1365"/>
      <c r="AE120" s="726"/>
      <c r="AF120" s="1365"/>
      <c r="AG120" s="726"/>
      <c r="AH120" s="1365"/>
      <c r="AI120" s="726"/>
      <c r="AJ120" s="1373"/>
      <c r="AK120" s="632"/>
      <c r="AL120" s="1373"/>
      <c r="AM120" s="606"/>
      <c r="AN120" s="612"/>
      <c r="AO120" s="611"/>
      <c r="AP120" s="613"/>
      <c r="AQ120" s="320"/>
      <c r="AR120" s="320"/>
      <c r="AS120" s="320"/>
      <c r="AT120" s="609"/>
      <c r="AU120" s="614"/>
      <c r="AV120" s="613"/>
      <c r="AW120" s="758"/>
      <c r="AX120" s="758"/>
      <c r="AY120" s="758"/>
      <c r="AZ120" s="758"/>
      <c r="BA120" s="1384"/>
      <c r="BB120" s="322"/>
      <c r="BC120" s="323"/>
      <c r="BD120" s="324"/>
    </row>
    <row r="121" spans="1:58" ht="14.1" thickBot="1">
      <c r="A121" s="1346">
        <v>33</v>
      </c>
      <c r="B121" s="1265" t="s">
        <v>215</v>
      </c>
      <c r="C121" s="1229" t="s">
        <v>212</v>
      </c>
      <c r="D121" s="1269">
        <v>109423.92</v>
      </c>
      <c r="E121" s="1271" t="s">
        <v>216</v>
      </c>
      <c r="F121" s="1280" t="s">
        <v>21</v>
      </c>
      <c r="G121" s="1282" t="s">
        <v>103</v>
      </c>
      <c r="H121" s="615" t="s">
        <v>23</v>
      </c>
      <c r="I121" s="616">
        <v>45658</v>
      </c>
      <c r="J121" s="617" t="s">
        <v>217</v>
      </c>
      <c r="K121" s="618"/>
      <c r="L121" s="326"/>
      <c r="M121" s="326"/>
      <c r="N121" s="326"/>
      <c r="O121" s="326"/>
      <c r="P121" s="326"/>
      <c r="Q121" s="365"/>
      <c r="R121" s="619"/>
      <c r="S121" s="326"/>
      <c r="T121" s="326"/>
      <c r="U121" s="326"/>
      <c r="V121" s="620"/>
      <c r="W121" s="621"/>
      <c r="X121" s="622"/>
      <c r="Y121" s="378">
        <f>D121/2</f>
        <v>54711.96</v>
      </c>
      <c r="Z121" s="1381" t="s">
        <v>218</v>
      </c>
      <c r="AA121" s="326"/>
      <c r="AB121" s="620"/>
      <c r="AC121" s="617"/>
      <c r="AD121" s="622"/>
      <c r="AE121" s="419"/>
      <c r="AF121" s="619"/>
      <c r="AG121" s="326"/>
      <c r="AH121" s="620"/>
      <c r="AI121" s="623"/>
      <c r="AJ121" s="622"/>
      <c r="AK121" s="779">
        <v>54711.96</v>
      </c>
      <c r="AL121" s="1370" t="s">
        <v>741</v>
      </c>
      <c r="AM121" s="326"/>
      <c r="AN121" s="620"/>
      <c r="AO121" s="623"/>
      <c r="AP121" s="622"/>
      <c r="AQ121" s="624"/>
      <c r="AR121" s="326"/>
      <c r="AS121" s="326"/>
      <c r="AT121" s="326"/>
      <c r="AU121" s="326"/>
      <c r="AV121" s="326"/>
      <c r="AW121" s="356"/>
      <c r="AX121" s="356"/>
      <c r="AY121" s="356"/>
      <c r="AZ121" s="356"/>
      <c r="BA121" s="1383">
        <f t="shared" ref="BA121" si="12">D121</f>
        <v>109423.92</v>
      </c>
      <c r="BB121" s="253">
        <f>M121+O121+Q121+S121+U121+W121+Y121+AA121+AC121+AE121+AG121+AI121+AK121+AM121+AO121+AQ121+AS121</f>
        <v>109423.92</v>
      </c>
      <c r="BC121" s="331">
        <f>M121+O121+Q121+S121+U121+W121+Y121+AA121+AC121+AG121+AI121+AK121+AM121+AO121+AQ121+AS121+AU121</f>
        <v>109423.92</v>
      </c>
      <c r="BD121" s="222"/>
    </row>
    <row r="122" spans="1:58" ht="14.1">
      <c r="A122" s="1341"/>
      <c r="B122" s="1266"/>
      <c r="C122" s="1229"/>
      <c r="D122" s="1098"/>
      <c r="E122" s="1101"/>
      <c r="F122" s="1090"/>
      <c r="G122" s="1243"/>
      <c r="H122" s="517" t="s">
        <v>25</v>
      </c>
      <c r="I122" s="564">
        <v>45748</v>
      </c>
      <c r="J122" s="188" t="s">
        <v>194</v>
      </c>
      <c r="K122" s="588"/>
      <c r="L122" s="212"/>
      <c r="M122" s="212"/>
      <c r="N122" s="212"/>
      <c r="O122" s="212"/>
      <c r="P122" s="212"/>
      <c r="Q122" s="577"/>
      <c r="R122" s="422"/>
      <c r="S122" s="212"/>
      <c r="T122" s="212"/>
      <c r="U122" s="212"/>
      <c r="V122" s="279"/>
      <c r="W122" s="502"/>
      <c r="X122" s="589"/>
      <c r="Y122" s="625"/>
      <c r="Z122" s="1381"/>
      <c r="AA122" s="212"/>
      <c r="AB122" s="279"/>
      <c r="AC122" s="414"/>
      <c r="AD122" s="602"/>
      <c r="AE122" s="626"/>
      <c r="AF122" s="627"/>
      <c r="AG122" s="212"/>
      <c r="AH122" s="279"/>
      <c r="AI122" s="414"/>
      <c r="AJ122" s="589"/>
      <c r="AK122" s="625"/>
      <c r="AL122" s="1371"/>
      <c r="AM122" s="212"/>
      <c r="AN122" s="279"/>
      <c r="AO122" s="414"/>
      <c r="AP122" s="602"/>
      <c r="AQ122" s="626"/>
      <c r="AR122" s="589"/>
      <c r="AS122" s="212"/>
      <c r="AT122" s="212"/>
      <c r="AU122" s="212"/>
      <c r="AV122" s="212"/>
      <c r="AW122" s="356"/>
      <c r="AX122" s="356"/>
      <c r="AY122" s="356"/>
      <c r="AZ122" s="356"/>
      <c r="BA122" s="1383"/>
      <c r="BB122" s="253"/>
      <c r="BC122" s="218"/>
      <c r="BD122" s="254">
        <f>M122+O122+Q122+S122+U122+W122+AA122+AC122+Y122+AG122+AI122+AK122+AM122+AO122+AQ122+AS122+AU122+AE122</f>
        <v>0</v>
      </c>
    </row>
    <row r="123" spans="1:58">
      <c r="A123" s="1341"/>
      <c r="B123" s="1266"/>
      <c r="C123" s="1229"/>
      <c r="D123" s="1098"/>
      <c r="E123" s="1101"/>
      <c r="F123" s="1090"/>
      <c r="G123" s="1243"/>
      <c r="H123" s="517" t="s">
        <v>27</v>
      </c>
      <c r="I123" s="570">
        <v>45839</v>
      </c>
      <c r="J123" s="188" t="s">
        <v>219</v>
      </c>
      <c r="K123" s="588"/>
      <c r="L123" s="212"/>
      <c r="M123" s="212"/>
      <c r="N123" s="212"/>
      <c r="O123" s="212"/>
      <c r="P123" s="212"/>
      <c r="Q123" s="577"/>
      <c r="R123" s="422"/>
      <c r="S123" s="212"/>
      <c r="T123" s="212"/>
      <c r="U123" s="212"/>
      <c r="V123" s="279"/>
      <c r="W123" s="502"/>
      <c r="X123" s="589"/>
      <c r="Y123" s="628"/>
      <c r="Z123" s="1381"/>
      <c r="AA123" s="212"/>
      <c r="AB123" s="279"/>
      <c r="AC123" s="296"/>
      <c r="AD123" s="602"/>
      <c r="AE123" s="626"/>
      <c r="AF123" s="627"/>
      <c r="AG123" s="212"/>
      <c r="AH123" s="279"/>
      <c r="AI123" s="296"/>
      <c r="AJ123" s="589"/>
      <c r="AK123" s="628"/>
      <c r="AL123" s="1372"/>
      <c r="AM123" s="212"/>
      <c r="AN123" s="279"/>
      <c r="AO123" s="296"/>
      <c r="AP123" s="602"/>
      <c r="AQ123" s="626"/>
      <c r="AR123" s="589"/>
      <c r="AS123" s="212"/>
      <c r="AT123" s="212"/>
      <c r="AU123" s="212"/>
      <c r="AV123" s="212"/>
      <c r="AW123" s="356"/>
      <c r="AX123" s="356"/>
      <c r="AY123" s="356"/>
      <c r="AZ123" s="356"/>
      <c r="BA123" s="1383"/>
      <c r="BB123" s="253"/>
      <c r="BC123" s="218"/>
      <c r="BD123" s="222"/>
    </row>
    <row r="124" spans="1:58" ht="14.1" thickBot="1">
      <c r="A124" s="1342"/>
      <c r="B124" s="1267"/>
      <c r="C124" s="1268"/>
      <c r="D124" s="1270"/>
      <c r="E124" s="1272"/>
      <c r="F124" s="1281"/>
      <c r="G124" s="1283"/>
      <c r="H124" s="629" t="s">
        <v>30</v>
      </c>
      <c r="I124" s="587">
        <v>45931</v>
      </c>
      <c r="J124" s="630"/>
      <c r="K124" s="607"/>
      <c r="L124" s="320"/>
      <c r="M124" s="320"/>
      <c r="N124" s="320"/>
      <c r="O124" s="320"/>
      <c r="P124" s="320"/>
      <c r="Q124" s="608"/>
      <c r="R124" s="467"/>
      <c r="S124" s="320"/>
      <c r="T124" s="320"/>
      <c r="U124" s="320"/>
      <c r="V124" s="609"/>
      <c r="W124" s="631"/>
      <c r="X124" s="613"/>
      <c r="Y124" s="632"/>
      <c r="Z124" s="1382"/>
      <c r="AA124" s="320"/>
      <c r="AB124" s="320"/>
      <c r="AC124" s="633"/>
      <c r="AD124" s="609"/>
      <c r="AE124" s="626"/>
      <c r="AF124" s="634"/>
      <c r="AG124" s="320"/>
      <c r="AH124" s="609"/>
      <c r="AI124" s="296"/>
      <c r="AJ124" s="613"/>
      <c r="AK124" s="632"/>
      <c r="AL124" s="1373"/>
      <c r="AM124" s="320"/>
      <c r="AN124" s="609"/>
      <c r="AO124" s="296"/>
      <c r="AP124" s="612"/>
      <c r="AQ124" s="626"/>
      <c r="AR124" s="613"/>
      <c r="AS124" s="320"/>
      <c r="AT124" s="320"/>
      <c r="AU124" s="320"/>
      <c r="AV124" s="320"/>
      <c r="AW124" s="356"/>
      <c r="AX124" s="356"/>
      <c r="AY124" s="356"/>
      <c r="AZ124" s="356"/>
      <c r="BA124" s="1384"/>
      <c r="BB124" s="322"/>
      <c r="BC124" s="323"/>
      <c r="BD124" s="324"/>
    </row>
    <row r="125" spans="1:58" ht="14.1" thickBot="1">
      <c r="A125" s="1340">
        <v>34</v>
      </c>
      <c r="B125" s="1347" t="s">
        <v>717</v>
      </c>
      <c r="C125" s="1226" t="s">
        <v>739</v>
      </c>
      <c r="D125" s="759"/>
      <c r="E125" s="743"/>
      <c r="F125" s="1089" t="s">
        <v>21</v>
      </c>
      <c r="G125" s="1278" t="s">
        <v>22</v>
      </c>
      <c r="H125" s="460" t="s">
        <v>23</v>
      </c>
      <c r="I125" s="442">
        <v>46007</v>
      </c>
      <c r="J125" s="492" t="s">
        <v>728</v>
      </c>
      <c r="K125" s="586"/>
      <c r="L125" s="201"/>
      <c r="M125" s="201"/>
      <c r="N125" s="201"/>
      <c r="O125" s="201"/>
      <c r="P125" s="201"/>
      <c r="Q125" s="575"/>
      <c r="R125" s="439"/>
      <c r="S125" s="201"/>
      <c r="T125" s="201"/>
      <c r="U125" s="201"/>
      <c r="V125" s="1379"/>
      <c r="W125" s="711"/>
      <c r="X125" s="1355"/>
      <c r="Y125" s="346"/>
      <c r="Z125" s="1355"/>
      <c r="AA125" s="596"/>
      <c r="AB125" s="1355"/>
      <c r="AC125" s="346"/>
      <c r="AD125" s="1358"/>
      <c r="AE125" s="346"/>
      <c r="AF125" s="1050"/>
      <c r="AG125" s="346"/>
      <c r="AH125" s="1358"/>
      <c r="AI125" s="721">
        <v>225426.5</v>
      </c>
      <c r="AJ125" s="1370" t="s">
        <v>738</v>
      </c>
      <c r="AK125" s="346"/>
      <c r="AL125" s="1358"/>
      <c r="AM125" s="596"/>
      <c r="AN125" s="201"/>
      <c r="AO125" s="346"/>
      <c r="AP125" s="201"/>
      <c r="AQ125" s="201"/>
      <c r="AR125" s="201"/>
      <c r="AS125" s="201"/>
      <c r="AT125" s="266"/>
      <c r="AU125" s="597"/>
      <c r="AV125" s="563"/>
      <c r="AW125" s="212"/>
      <c r="AX125" s="212"/>
      <c r="AY125" s="212"/>
      <c r="AZ125" s="212"/>
      <c r="BA125" s="241"/>
      <c r="BB125" s="241">
        <f>M125+O125+Q125+S125+U125+W125+Y125+AA125+AC125+AE125+AG125+AI125+AK125+AM125+AO125+AQ125+AS125</f>
        <v>225426.5</v>
      </c>
      <c r="BC125" s="732">
        <f>M125+O125+Q125+S125+U125+W125+Y125+AA125+AC125+AE125+AG125+AI125+AK125+AM125+AO125+AQ125+AS125+AU125</f>
        <v>225426.5</v>
      </c>
      <c r="BD125" s="268"/>
    </row>
    <row r="126" spans="1:58" ht="14.1">
      <c r="A126" s="1341"/>
      <c r="B126" s="1266"/>
      <c r="C126" s="1227"/>
      <c r="D126" s="741">
        <v>225426.5</v>
      </c>
      <c r="E126" s="744" t="s">
        <v>720</v>
      </c>
      <c r="F126" s="1090"/>
      <c r="G126" s="1240"/>
      <c r="H126" s="464" t="s">
        <v>25</v>
      </c>
      <c r="I126" s="449">
        <v>45717</v>
      </c>
      <c r="J126" s="188" t="s">
        <v>194</v>
      </c>
      <c r="K126" s="588"/>
      <c r="L126" s="212"/>
      <c r="M126" s="212"/>
      <c r="N126" s="212"/>
      <c r="O126" s="212"/>
      <c r="P126" s="212"/>
      <c r="Q126" s="577"/>
      <c r="R126" s="422"/>
      <c r="S126" s="212"/>
      <c r="T126" s="212"/>
      <c r="U126" s="212"/>
      <c r="V126" s="1360"/>
      <c r="W126" s="712"/>
      <c r="X126" s="1356"/>
      <c r="Y126" s="229"/>
      <c r="Z126" s="1356"/>
      <c r="AA126" s="749"/>
      <c r="AB126" s="1356"/>
      <c r="AC126" s="749"/>
      <c r="AD126" s="1359"/>
      <c r="AE126" s="229"/>
      <c r="AF126" s="1051"/>
      <c r="AG126" s="749"/>
      <c r="AH126" s="1359"/>
      <c r="AI126" s="722"/>
      <c r="AJ126" s="1371"/>
      <c r="AK126" s="229"/>
      <c r="AL126" s="1374"/>
      <c r="AM126" s="750"/>
      <c r="AN126" s="589"/>
      <c r="AO126" s="697"/>
      <c r="AP126" s="212"/>
      <c r="AQ126" s="212"/>
      <c r="AR126" s="212"/>
      <c r="AS126" s="583"/>
      <c r="AT126" s="279"/>
      <c r="AU126" s="747"/>
      <c r="AV126" s="589"/>
      <c r="AW126" s="212"/>
      <c r="AX126" s="212"/>
      <c r="AY126" s="699"/>
      <c r="AZ126" s="600"/>
      <c r="BA126" s="253">
        <f>D126</f>
        <v>225426.5</v>
      </c>
      <c r="BB126" s="253"/>
      <c r="BC126" s="218"/>
      <c r="BD126" s="254">
        <f>M126+O126+Q126+S126+U126+W126+Y126+AA126+AC126+AE126+AG126+AI126+AK126+AM126+AO126+AQ126+AS126+AU126+AM127+AG127+AW126+AY126</f>
        <v>0</v>
      </c>
    </row>
    <row r="127" spans="1:58">
      <c r="A127" s="1341"/>
      <c r="B127" s="1266"/>
      <c r="C127" s="1227"/>
      <c r="D127" s="741">
        <v>225426.5</v>
      </c>
      <c r="E127" s="744" t="s">
        <v>718</v>
      </c>
      <c r="F127" s="1090"/>
      <c r="G127" s="1240"/>
      <c r="H127" s="517" t="s">
        <v>27</v>
      </c>
      <c r="I127" s="587">
        <v>46174</v>
      </c>
      <c r="J127" s="188" t="s">
        <v>719</v>
      </c>
      <c r="K127" s="588"/>
      <c r="L127" s="212"/>
      <c r="M127" s="212"/>
      <c r="N127" s="212"/>
      <c r="O127" s="212"/>
      <c r="P127" s="212"/>
      <c r="Q127" s="577"/>
      <c r="R127" s="422"/>
      <c r="S127" s="212"/>
      <c r="T127" s="212"/>
      <c r="U127" s="212"/>
      <c r="V127" s="1360"/>
      <c r="W127" s="712"/>
      <c r="X127" s="1356"/>
      <c r="Y127" s="356"/>
      <c r="Z127" s="1096"/>
      <c r="AA127" s="188"/>
      <c r="AB127" s="1096"/>
      <c r="AC127" s="188"/>
      <c r="AD127" s="1360"/>
      <c r="AE127" s="188"/>
      <c r="AF127" s="1052"/>
      <c r="AG127" s="188"/>
      <c r="AH127" s="1360"/>
      <c r="AI127" s="723"/>
      <c r="AJ127" s="1372"/>
      <c r="AK127" s="188"/>
      <c r="AL127" s="1360"/>
      <c r="AM127" s="188"/>
      <c r="AN127" s="602"/>
      <c r="AO127" s="188"/>
      <c r="AP127" s="589"/>
      <c r="AQ127" s="212"/>
      <c r="AR127" s="212"/>
      <c r="AS127" s="212"/>
      <c r="AT127" s="279"/>
      <c r="AU127" s="748"/>
      <c r="AV127" s="589"/>
      <c r="AW127" s="212"/>
      <c r="AX127" s="212"/>
      <c r="AY127" s="212"/>
      <c r="AZ127" s="212"/>
      <c r="BA127" s="253"/>
      <c r="BB127" s="253"/>
      <c r="BC127" s="218"/>
      <c r="BD127" s="222"/>
    </row>
    <row r="128" spans="1:58" ht="14.1" thickBot="1">
      <c r="A128" s="1342"/>
      <c r="B128" s="1267"/>
      <c r="C128" s="1378"/>
      <c r="D128" s="742"/>
      <c r="E128" s="745"/>
      <c r="F128" s="1281"/>
      <c r="G128" s="1279"/>
      <c r="H128" s="604" t="s">
        <v>30</v>
      </c>
      <c r="I128" s="605">
        <v>46357</v>
      </c>
      <c r="J128" s="606"/>
      <c r="K128" s="607"/>
      <c r="L128" s="320"/>
      <c r="M128" s="320"/>
      <c r="N128" s="320"/>
      <c r="O128" s="320"/>
      <c r="P128" s="320"/>
      <c r="Q128" s="608"/>
      <c r="R128" s="467"/>
      <c r="S128" s="320"/>
      <c r="T128" s="320"/>
      <c r="U128" s="320"/>
      <c r="V128" s="609"/>
      <c r="W128" s="713"/>
      <c r="X128" s="1380"/>
      <c r="Y128" s="746"/>
      <c r="Z128" s="1357"/>
      <c r="AA128" s="606"/>
      <c r="AB128" s="1357"/>
      <c r="AC128" s="606"/>
      <c r="AD128" s="1361"/>
      <c r="AE128" s="606"/>
      <c r="AF128" s="1053"/>
      <c r="AG128" s="606"/>
      <c r="AH128" s="1361"/>
      <c r="AI128" s="705"/>
      <c r="AJ128" s="1373"/>
      <c r="AK128" s="606"/>
      <c r="AL128" s="1361"/>
      <c r="AM128" s="606"/>
      <c r="AN128" s="612"/>
      <c r="AO128" s="606"/>
      <c r="AP128" s="613"/>
      <c r="AQ128" s="320"/>
      <c r="AR128" s="320"/>
      <c r="AS128" s="320"/>
      <c r="AT128" s="609"/>
      <c r="AU128" s="614"/>
      <c r="AV128" s="613"/>
      <c r="AW128" s="212"/>
      <c r="AX128" s="212"/>
      <c r="AY128" s="212"/>
      <c r="AZ128" s="212"/>
      <c r="BA128" s="322"/>
      <c r="BB128" s="322"/>
      <c r="BC128" s="323"/>
      <c r="BD128" s="324"/>
    </row>
    <row r="129" spans="1:58" ht="14.25" customHeight="1">
      <c r="A129" s="1340">
        <v>35</v>
      </c>
      <c r="B129" s="1375" t="s">
        <v>722</v>
      </c>
      <c r="C129" s="1226" t="s">
        <v>723</v>
      </c>
      <c r="D129" s="759"/>
      <c r="E129" s="743"/>
      <c r="F129" s="1089" t="s">
        <v>21</v>
      </c>
      <c r="G129" s="1278" t="s">
        <v>22</v>
      </c>
      <c r="H129" s="460" t="s">
        <v>23</v>
      </c>
      <c r="I129" s="442">
        <v>46007</v>
      </c>
      <c r="J129" s="492" t="s">
        <v>729</v>
      </c>
      <c r="K129" s="586"/>
      <c r="L129" s="201"/>
      <c r="M129" s="201"/>
      <c r="N129" s="201"/>
      <c r="O129" s="201"/>
      <c r="P129" s="201"/>
      <c r="Q129" s="575"/>
      <c r="R129" s="439"/>
      <c r="S129" s="201"/>
      <c r="T129" s="201"/>
      <c r="U129" s="201"/>
      <c r="V129" s="1379"/>
      <c r="W129" s="711"/>
      <c r="X129" s="1355"/>
      <c r="Y129" s="734">
        <f>D132/4</f>
        <v>415230</v>
      </c>
      <c r="Z129" s="1362" t="s">
        <v>742</v>
      </c>
      <c r="AA129" s="596"/>
      <c r="AB129" s="1355"/>
      <c r="AC129" s="346"/>
      <c r="AD129" s="1358"/>
      <c r="AE129" s="734">
        <f>D132/4</f>
        <v>415230</v>
      </c>
      <c r="AF129" s="1362" t="s">
        <v>743</v>
      </c>
      <c r="AG129" s="346"/>
      <c r="AH129" s="1358"/>
      <c r="AI129" s="346"/>
      <c r="AJ129" s="1358"/>
      <c r="AK129" s="764"/>
      <c r="AL129" s="1366" t="s">
        <v>726</v>
      </c>
      <c r="AM129" s="596"/>
      <c r="AN129" s="201"/>
      <c r="AO129" s="346"/>
      <c r="AP129" s="201"/>
      <c r="AQ129" s="201"/>
      <c r="AR129" s="201"/>
      <c r="AS129" s="201"/>
      <c r="AT129" s="266"/>
      <c r="AU129" s="597"/>
      <c r="AV129" s="563"/>
      <c r="AW129" s="212"/>
      <c r="AX129" s="212"/>
      <c r="AY129" s="212"/>
      <c r="AZ129" s="212"/>
      <c r="BA129" s="241"/>
      <c r="BB129" s="241">
        <f>M129+O129+Q129+S129+U129+W129+Y129+AA129+AC129+AE129+AG129+AI129+AK129+AM129+AO129+AQ129+AS129</f>
        <v>830460</v>
      </c>
      <c r="BC129" s="732">
        <f>M129+O129+Q129+S129+U129+W129+Y129+AA129+AC129+AE129+AG129+AI129+AK129+AM129+AO129+AQ129+AS129+AU129</f>
        <v>830460</v>
      </c>
      <c r="BD129" s="268"/>
    </row>
    <row r="130" spans="1:58" ht="14.1">
      <c r="A130" s="1341"/>
      <c r="B130" s="1376"/>
      <c r="C130" s="1227"/>
      <c r="D130" s="769">
        <v>916155</v>
      </c>
      <c r="E130" s="769" t="s">
        <v>724</v>
      </c>
      <c r="F130" s="1090"/>
      <c r="G130" s="1240"/>
      <c r="H130" s="464" t="s">
        <v>25</v>
      </c>
      <c r="I130" s="449">
        <v>45717</v>
      </c>
      <c r="J130" s="188" t="s">
        <v>194</v>
      </c>
      <c r="K130" s="588"/>
      <c r="L130" s="212"/>
      <c r="M130" s="212"/>
      <c r="N130" s="212"/>
      <c r="O130" s="212"/>
      <c r="P130" s="212"/>
      <c r="Q130" s="577"/>
      <c r="R130" s="422"/>
      <c r="S130" s="212"/>
      <c r="T130" s="212"/>
      <c r="U130" s="212"/>
      <c r="V130" s="1360"/>
      <c r="W130" s="712"/>
      <c r="X130" s="1356"/>
      <c r="Y130" s="569"/>
      <c r="Z130" s="1363"/>
      <c r="AA130" s="749"/>
      <c r="AB130" s="1356"/>
      <c r="AC130" s="749"/>
      <c r="AD130" s="1359"/>
      <c r="AE130" s="763"/>
      <c r="AF130" s="1363"/>
      <c r="AG130" s="749"/>
      <c r="AH130" s="1359"/>
      <c r="AI130" s="749"/>
      <c r="AJ130" s="1359"/>
      <c r="AK130" s="765">
        <v>415230</v>
      </c>
      <c r="AL130" s="1367"/>
      <c r="AM130" s="750"/>
      <c r="AN130" s="589"/>
      <c r="AO130" s="697"/>
      <c r="AP130" s="212"/>
      <c r="AQ130" s="699">
        <f>AK130</f>
        <v>415230</v>
      </c>
      <c r="AR130" s="600" t="s">
        <v>726</v>
      </c>
      <c r="AS130" s="583"/>
      <c r="AT130" s="279"/>
      <c r="AU130" s="747"/>
      <c r="AV130" s="589"/>
      <c r="AW130" s="212"/>
      <c r="AX130" s="212"/>
      <c r="AY130" s="583"/>
      <c r="AZ130" s="212"/>
      <c r="BA130" s="253">
        <f>D132</f>
        <v>1660920</v>
      </c>
      <c r="BB130" s="253"/>
      <c r="BC130" s="218"/>
      <c r="BD130" s="254">
        <f>M130+O130+Q130+S130+U130+W130+Y130+AA130+AC130+AE130+AG130+AI130+AK130+AM130+AO130+AQ130+AS130+AU130+AM131+AG131+AW130+AY130</f>
        <v>830460</v>
      </c>
    </row>
    <row r="131" spans="1:58">
      <c r="A131" s="1341"/>
      <c r="B131" s="1376"/>
      <c r="C131" s="1227"/>
      <c r="D131" s="769">
        <v>537664</v>
      </c>
      <c r="E131" s="741" t="s">
        <v>725</v>
      </c>
      <c r="F131" s="1090"/>
      <c r="G131" s="1240"/>
      <c r="H131" s="517" t="s">
        <v>27</v>
      </c>
      <c r="I131" s="587">
        <v>46174</v>
      </c>
      <c r="J131" s="188" t="s">
        <v>719</v>
      </c>
      <c r="K131" s="588"/>
      <c r="L131" s="212"/>
      <c r="M131" s="212"/>
      <c r="N131" s="212"/>
      <c r="O131" s="212"/>
      <c r="P131" s="212"/>
      <c r="Q131" s="577"/>
      <c r="R131" s="422"/>
      <c r="S131" s="212"/>
      <c r="T131" s="212"/>
      <c r="U131" s="212"/>
      <c r="V131" s="1360"/>
      <c r="W131" s="712"/>
      <c r="X131" s="1356"/>
      <c r="Y131" s="573"/>
      <c r="Z131" s="1364"/>
      <c r="AA131" s="188"/>
      <c r="AB131" s="1096"/>
      <c r="AC131" s="188"/>
      <c r="AD131" s="1360"/>
      <c r="AE131" s="725"/>
      <c r="AF131" s="1364"/>
      <c r="AG131" s="188"/>
      <c r="AH131" s="1360"/>
      <c r="AI131" s="188"/>
      <c r="AJ131" s="1360"/>
      <c r="AK131" s="766"/>
      <c r="AL131" s="1368"/>
      <c r="AM131" s="188"/>
      <c r="AN131" s="602"/>
      <c r="AO131" s="188"/>
      <c r="AP131" s="589"/>
      <c r="AQ131" s="600"/>
      <c r="AR131" s="600"/>
      <c r="AS131" s="212"/>
      <c r="AT131" s="279"/>
      <c r="AU131" s="748"/>
      <c r="AV131" s="589"/>
      <c r="AW131" s="212"/>
      <c r="AX131" s="212"/>
      <c r="AY131" s="212"/>
      <c r="AZ131" s="212"/>
      <c r="BA131" s="253"/>
      <c r="BB131" s="253"/>
      <c r="BC131" s="218"/>
      <c r="BD131" s="222"/>
    </row>
    <row r="132" spans="1:58" ht="14.1" thickBot="1">
      <c r="A132" s="1342"/>
      <c r="B132" s="1377"/>
      <c r="C132" s="1378"/>
      <c r="D132" s="742">
        <v>1660920</v>
      </c>
      <c r="E132" s="745"/>
      <c r="F132" s="1281"/>
      <c r="G132" s="1279"/>
      <c r="H132" s="604" t="s">
        <v>30</v>
      </c>
      <c r="I132" s="605">
        <v>46357</v>
      </c>
      <c r="J132" s="606"/>
      <c r="K132" s="607"/>
      <c r="L132" s="320"/>
      <c r="M132" s="320"/>
      <c r="N132" s="320"/>
      <c r="O132" s="320"/>
      <c r="P132" s="320"/>
      <c r="Q132" s="608"/>
      <c r="R132" s="467"/>
      <c r="S132" s="320"/>
      <c r="T132" s="320"/>
      <c r="U132" s="320"/>
      <c r="V132" s="609"/>
      <c r="W132" s="713"/>
      <c r="X132" s="1380"/>
      <c r="Y132" s="610"/>
      <c r="Z132" s="1365"/>
      <c r="AA132" s="606"/>
      <c r="AB132" s="1357"/>
      <c r="AC132" s="606"/>
      <c r="AD132" s="1361"/>
      <c r="AE132" s="726"/>
      <c r="AF132" s="1365"/>
      <c r="AG132" s="606"/>
      <c r="AH132" s="1361"/>
      <c r="AI132" s="606"/>
      <c r="AJ132" s="1361"/>
      <c r="AK132" s="767"/>
      <c r="AL132" s="1369"/>
      <c r="AM132" s="606"/>
      <c r="AN132" s="612"/>
      <c r="AO132" s="606"/>
      <c r="AP132" s="613"/>
      <c r="AQ132" s="768"/>
      <c r="AR132" s="768"/>
      <c r="AS132" s="320"/>
      <c r="AT132" s="609"/>
      <c r="AU132" s="614"/>
      <c r="AV132" s="613"/>
      <c r="AW132" s="212"/>
      <c r="AX132" s="212"/>
      <c r="AY132" s="212"/>
      <c r="AZ132" s="212"/>
      <c r="BA132" s="322"/>
      <c r="BB132" s="322"/>
      <c r="BC132" s="323"/>
      <c r="BD132" s="324"/>
    </row>
    <row r="133" spans="1:58">
      <c r="A133" s="639"/>
      <c r="B133" s="773"/>
      <c r="C133" s="773"/>
      <c r="D133" s="774"/>
      <c r="E133" s="775"/>
      <c r="F133" s="639"/>
      <c r="G133" s="639"/>
      <c r="H133" s="640"/>
      <c r="I133" s="641"/>
      <c r="Q133" s="639"/>
      <c r="R133" s="776"/>
      <c r="W133" s="777"/>
      <c r="X133" s="776"/>
      <c r="Z133" s="771"/>
      <c r="AB133" s="776"/>
      <c r="AD133" s="771"/>
      <c r="AF133" s="771"/>
      <c r="AH133" s="771"/>
      <c r="AJ133" s="771"/>
      <c r="AK133" s="778"/>
      <c r="AL133" s="776"/>
      <c r="BA133" s="772"/>
      <c r="BB133" s="772"/>
      <c r="BC133" s="772"/>
    </row>
    <row r="134" spans="1:58">
      <c r="A134" s="635"/>
      <c r="B134" s="636"/>
      <c r="C134" s="636"/>
      <c r="D134" s="637"/>
      <c r="E134" s="638"/>
      <c r="F134" s="639"/>
      <c r="G134" s="639"/>
      <c r="H134" s="640"/>
      <c r="I134" s="641"/>
      <c r="Q134" s="635"/>
      <c r="R134" s="643"/>
      <c r="W134" s="644"/>
      <c r="Y134" s="645"/>
      <c r="AC134" s="646"/>
      <c r="AD134" s="419"/>
      <c r="AE134" s="635"/>
      <c r="AF134" s="643"/>
      <c r="AG134" s="419"/>
      <c r="AH134" s="419"/>
      <c r="AI134" s="646"/>
      <c r="AO134" s="646"/>
      <c r="AU134" s="646"/>
    </row>
    <row r="135" spans="1:58" ht="14.1">
      <c r="B135" s="647"/>
      <c r="D135" s="649">
        <f>SUM(D3:D132)</f>
        <v>21505371.970000003</v>
      </c>
      <c r="K135" s="649">
        <f>SUM(K3:K132)</f>
        <v>675085.5</v>
      </c>
      <c r="L135" s="651"/>
      <c r="M135" s="649">
        <f>SUM(M3:M132)</f>
        <v>4664551</v>
      </c>
      <c r="N135" s="651">
        <f>SUM(N3:N124)</f>
        <v>0</v>
      </c>
      <c r="O135" s="651">
        <f>SUM(O3:O132)</f>
        <v>2764551</v>
      </c>
      <c r="P135" s="651">
        <f>SUM(P3:P124)</f>
        <v>0</v>
      </c>
      <c r="Q135" s="649">
        <f>SUM(Q3:Q124)</f>
        <v>733383</v>
      </c>
      <c r="R135" s="651">
        <f>SUM(R3:R124)</f>
        <v>0</v>
      </c>
      <c r="S135" s="649">
        <f>SUM(S3:S132)</f>
        <v>2098537.85</v>
      </c>
      <c r="T135" s="651"/>
      <c r="U135" s="649">
        <f>SUM(U3:U132)</f>
        <v>548039.36</v>
      </c>
      <c r="V135" s="651">
        <f>SUM(V3:V124)</f>
        <v>0</v>
      </c>
      <c r="W135" s="649">
        <f>SUM(W3:W132)</f>
        <v>225639.78</v>
      </c>
      <c r="X135" s="651">
        <f>SUM(X3:X124)</f>
        <v>0</v>
      </c>
      <c r="Y135" s="649">
        <f>SUM(Y3:Y132)</f>
        <v>1932464.79</v>
      </c>
      <c r="Z135" s="651">
        <f>SUM(Z3:Z123)</f>
        <v>0</v>
      </c>
      <c r="AA135" s="649">
        <f>SUM(AA3:AA132)</f>
        <v>708798.83000000007</v>
      </c>
      <c r="AB135" s="651">
        <f>SUM(AB3:AB124)</f>
        <v>0</v>
      </c>
      <c r="AC135" s="649">
        <f>SUM(AC3:AC132)</f>
        <v>968012.83</v>
      </c>
      <c r="AD135" s="651">
        <f>SUM(AD3:AD124)</f>
        <v>0</v>
      </c>
      <c r="AE135" s="649">
        <f>SUM(AE3:AE132)</f>
        <v>1159047.83</v>
      </c>
      <c r="AF135" s="651">
        <f>SUM(AF3:AF124)</f>
        <v>0</v>
      </c>
      <c r="AG135" s="649">
        <f>SUM(AG3:AG132)</f>
        <v>752538.83000000007</v>
      </c>
      <c r="AH135" s="651">
        <f>SUM(AH3:AH120)</f>
        <v>0</v>
      </c>
      <c r="AI135" s="649">
        <f>SUM(AI3:AI132)</f>
        <v>466529.83</v>
      </c>
      <c r="AJ135" s="651">
        <f>SUM(AJ3:AJ120)</f>
        <v>0</v>
      </c>
      <c r="AK135" s="649">
        <f>SUM(AK3:AK132)</f>
        <v>635901.29</v>
      </c>
      <c r="AL135" s="651">
        <f>SUM(AL3:AL120)</f>
        <v>0</v>
      </c>
      <c r="AM135" s="651">
        <f>SUM(AM3:AM132)</f>
        <v>556555.83000000007</v>
      </c>
      <c r="AN135" s="651">
        <f t="shared" ref="AN135:AT135" si="13">SUM(AN3:AN124)</f>
        <v>0</v>
      </c>
      <c r="AO135" s="651">
        <f>SUM(AO3:AO132)</f>
        <v>88833.33</v>
      </c>
      <c r="AP135" s="651">
        <f t="shared" si="13"/>
        <v>0</v>
      </c>
      <c r="AQ135" s="651">
        <f>SUM(AQ3:AQ132)</f>
        <v>504063.33</v>
      </c>
      <c r="AR135" s="651">
        <f t="shared" si="13"/>
        <v>0</v>
      </c>
      <c r="AS135" s="651">
        <f>SUM(AS3:AS132)</f>
        <v>432805.83</v>
      </c>
      <c r="AT135" s="651">
        <f t="shared" si="13"/>
        <v>0</v>
      </c>
      <c r="AU135" s="651">
        <f>SUM(AU3:AU132)</f>
        <v>88833.33</v>
      </c>
      <c r="AV135" s="651">
        <f>SUM(AV3:AV120)</f>
        <v>0</v>
      </c>
      <c r="AW135" s="651"/>
      <c r="AX135" s="651"/>
      <c r="AY135" s="651">
        <f>SUM(AY3:AY132)</f>
        <v>0</v>
      </c>
      <c r="AZ135" s="651"/>
      <c r="BA135" s="652" t="e">
        <f>BA3+BA7+#REF!+#REF!+#REF!+BA11+BA15+BA19+BA23+BA27+BA31+BA35+BA40+BA44+BA48+BA53+BA57+BA61+BA65+BA69+BA73+BA77+BA81+BA85+BA89+BA93+BA97+BA101+BA105+BA109+BA117+BA121+BA126+BA130+BA113</f>
        <v>#REF!</v>
      </c>
      <c r="BB135" s="652" t="e">
        <f>BB3+BB7+#REF!+#REF!+#REF!+BB11+BB15+BB19+BB23+BB27+BB31+BB35+BB40+BB44+BB48+BB53+BB57+BB61+BB65+BB69+BB73+BB77+BB81+BB85+BB89+BB93+BB97+BB101+BB105+BB109+BB113+BB117+BB121+BB125+BB129</f>
        <v>#REF!</v>
      </c>
      <c r="BC135" s="652">
        <f>SUM(BC3:BC132)</f>
        <v>17701939.719999999</v>
      </c>
      <c r="BD135" s="652" t="e">
        <f>BD4+BD8+#REF!+#REF!+#REF!+BD12+BD16+BD20+BD24+BD28+BD32+BD36+BD41+BD45+BD49+BD54+BD58+BD62+BD66+BD70+BD74+BD82+BD86+BD90+BD94+BD98+BD102+BD106+BD110+BD118+BD122+BD126+BD130+BD114+BD78</f>
        <v>#REF!</v>
      </c>
      <c r="BF135" s="661"/>
    </row>
    <row r="139" spans="1:58" s="653" customFormat="1" ht="15" customHeight="1">
      <c r="B139" s="654" t="s">
        <v>221</v>
      </c>
      <c r="C139" s="655"/>
      <c r="D139" s="656"/>
      <c r="E139" s="657"/>
      <c r="F139" s="657"/>
      <c r="G139" s="657"/>
      <c r="H139" s="657"/>
      <c r="I139" s="657"/>
      <c r="J139" s="658"/>
      <c r="K139" s="659" t="e">
        <f>K4+K8+#REF!+#REF!+#REF!+K12+K16+K20+K24+K28+K32+K36+K41+K45+K49+K54+K58+K62+K66+K70+K74+K78+K82+K86+K90+K94+K98+K102+K106+K110+K118+K122+K126+K130</f>
        <v>#REF!</v>
      </c>
      <c r="L139" s="658"/>
      <c r="M139" s="659" t="e">
        <f>M4+M8+#REF!+#REF!+#REF!+M12+M16+M20+M24+M28+M32+M36+M41+M45+M49+M54+M58+M62+M66+M70+M74+M78+M82+M86+M90+M94+M98+M102+M106+M110+M118+M122+M126+M130</f>
        <v>#REF!</v>
      </c>
      <c r="N139" s="658"/>
      <c r="O139" s="659" t="e">
        <f>O4+O8+#REF!+#REF!+#REF!+O12+O16+O20+O24+O28+O32+O36+O41+O45+O49+O54+O58+O62+O66+O70+O74+O78+O82+O86+O90+O94+O98+O102+O106+O110+O118+O122+O126+O130</f>
        <v>#REF!</v>
      </c>
      <c r="P139" s="658"/>
      <c r="Q139" s="659" t="e">
        <f>Q4+Q8+#REF!+#REF!+#REF!+Q12+Q16+Q20+Q24+Q28+Q32+Q36+Q41+Q45+Q49+Q54+Q58+Q62+Q66+Q70+Q74+Q78+Q82+Q86+Q90+Q94+Q98+Q102+Q106+Q110+Q118+Q122+Q126</f>
        <v>#REF!</v>
      </c>
      <c r="R139" s="658"/>
      <c r="S139" s="659" t="e">
        <f>S4+S8+#REF!+#REF!+#REF!+S12+S16+S20+S24+S28+S32+S36+S41+S45+S49+S54+S58+S62+S66+S70+S74+S78+S82+S86+S90+S94+S98+S102+S106+S110+S118+S122+S126+S130</f>
        <v>#REF!</v>
      </c>
      <c r="T139" s="658"/>
      <c r="U139" s="659" t="e">
        <f>U4+U8+#REF!+#REF!+#REF!+U12+U16+U20+U24+U28+U32+U36+U41+U45+U49+U54+U58+U62+U66+U70+U74+U78+U82+U86+U90+U94+U98+U102+U106+U110+U118+U122+U126</f>
        <v>#REF!</v>
      </c>
      <c r="V139" s="658"/>
      <c r="W139" s="659" t="e">
        <f>W4+W8+#REF!+#REF!+#REF!+W12+W16+W20+W24+W28+W32+W36+W41+W45+W49+W54+W58+W62+W66+W70+W74+W78+W82+W86+W90+W94+W98+W102+W106+W110+W118+W122+W126+W130</f>
        <v>#REF!</v>
      </c>
      <c r="X139" s="658"/>
      <c r="Y139" s="659" t="e">
        <f>Y4+Y8+#REF!+#REF!+#REF!+Y12+Y16+Y20+Y24+Y28+Y32+Y36+Y41+Y45+Y49+Y54+Y58+Y62+Y66+Y70+Y74+Y78+Y82+Y86+Y90+Y94+Y98+Y102+Y106+Y110+Y118+Y114+Y122+Y126+Y130</f>
        <v>#REF!</v>
      </c>
      <c r="Z139" s="660"/>
      <c r="AA139" s="659" t="e">
        <f>AA4+AA8+#REF!+#REF!+#REF!+AA12+AA16+AA20+AA24+AA28+AA32+AA36+AA41+AA45+AA49+AA54+AA58+AA62+AA66+AA70+AA74+AA78+AA82+AA86+AA90+AA94+AA98+AA102+AA106+AA110+AA118+AA122+AA114+AA126+AA130</f>
        <v>#REF!</v>
      </c>
      <c r="AB139" s="660"/>
      <c r="AC139" s="659" t="e">
        <f>AC4+AC8+#REF!+#REF!+#REF!+AC12+AC16+AC20+AC24+AC28+AC32+AC36+AC41+AC45+AC49+AC54+AC58+AC62+AC66+AC70+AC74+AC78+AC82+AC86+AC90+AC94+AC98+AC102+AC106+AC110+AC118+AC122+AC114+AC126+AC130</f>
        <v>#REF!</v>
      </c>
      <c r="AD139" s="660"/>
      <c r="AE139" s="659" t="e">
        <f>AE4+AE8+#REF!+#REF!+#REF!+AE12+AE16+AE20+AE24+AE28+AE32+AE36+AE41+AE45+AE49+AE54+AE58+AE62+AE66+AE70+AE74+AE78+AE82+AE86+AE90+AE94+AE98+AE102+AE106+AE110+AE118+Y122+AE114+AE122+AE126+AE130</f>
        <v>#REF!</v>
      </c>
      <c r="AF139" s="660"/>
      <c r="AG139" s="659" t="e">
        <f>AG4+AG8+#REF!+#REF!+#REF!+AG12+AG16+AG20+AG24+AG28+AG32+AG36+AG41+AG45+AG49+AG54+AG58+AG62+AG66+AG70+AG74+AG78+AG82+AG86+AG90+AG94+AG98+AG102+AG106+AG110+AG118+AG122+AG114+AG126+AG130</f>
        <v>#REF!</v>
      </c>
      <c r="AH139" s="660"/>
      <c r="AI139" s="659" t="e">
        <f>AI4+AI8+#REF!+#REF!+#REF!+AI12+AI16+AI20+AI24+AI28+AI32+AI36+AI41+AI45+AI49+AI54+AI58+AI62+AI66+AI70+AI74+AI78+AI82+AI86+AI90+AI94+AI98+AI102+AI106+AI110+AI118+AI122+AI114+AI126+AI130</f>
        <v>#REF!</v>
      </c>
      <c r="AJ139" s="660"/>
      <c r="AK139" s="659" t="e">
        <f>AK4+AK8+#REF!+#REF!+#REF!+AK12+AK16+AK20+AK24+AK28+AK32+AK36+AK41+AK45+AK49+AK54+AK58+AK62+AK66+AK70+AK74+AK78+AK82+AK86+AK90+AK94+AK98+AK102+AK106+AK110+AK118+AK122+AK114+AK126+AK130</f>
        <v>#REF!</v>
      </c>
      <c r="AL139" s="660"/>
      <c r="AM139" s="659" t="e">
        <f>AM4+AM8+#REF!+#REF!+#REF!+AM12+AM16+AM20+AM24+AM28+AM32+AM36+AM41+AM45+AM49+AM54+AM58+AM62+AM66+AM70+AM74+AM78+AM82+AM86+AM90+AM94+AM98+AM102+AM106+AM110+AM118+AM122+AM114+AM126+AM130</f>
        <v>#REF!</v>
      </c>
      <c r="AN139" s="660"/>
      <c r="AO139" s="659" t="e">
        <f>AO4+AO8+#REF!+#REF!+#REF!+AO12+AO16+AO20+AO24+AO28+AO32+AO36+AO41+AO45+AO49+AO54+AO58+AO62+AO66+AO70+AO74+AO78+AO82+AO86+AO90+AO94+AO98+AO102+AO106+AO110+AO118+AO122+AO114+AO126+AO130</f>
        <v>#REF!</v>
      </c>
      <c r="AP139" s="660"/>
      <c r="AQ139" s="659" t="e">
        <f>AQ4+AQ8+#REF!+#REF!+#REF!+AQ12+AQ16+AQ20+AQ24+AQ28+AQ32+AQ36+AQ41+AQ45+AQ49+AQ54+AQ58+AQ62+AQ66+AQ70+AQ74+AQ78+AQ82+AQ86+AQ90+AQ94+AQ98+AQ102+AQ106+AQ110+AQ118+AQ122+AQ114+AQ126+AQ130</f>
        <v>#REF!</v>
      </c>
      <c r="AR139" s="660"/>
      <c r="AS139" s="659" t="e">
        <f>AS4+AS8+#REF!+#REF!+#REF!+AS12+AS16+AS20+AS24+AS28+AS32+AS36+AS41+AS45+AS49+AS54+AS58+AS62+AS66+AS70+AS74+AS78+AS82+AS86+AS90+AS94+AS98+AS102+AS106+AS110+AS118+AS122+AS114+AS126+AS130</f>
        <v>#REF!</v>
      </c>
      <c r="AT139" s="660"/>
      <c r="AU139" s="659" t="e">
        <f>AU4+AU8+#REF!+#REF!+#REF!+AU12+AU16+AU20+AU24+AU28+AU32+AU36+AU41+AU45+AU49+AU54+AU58+AU62+AU66+AU70+AU74+AU78+AU82+AU86+AU90+AU94+AU98+AU102+AU106+AU110+AU118+AU122+AU114+AU126+AU130</f>
        <v>#REF!</v>
      </c>
      <c r="AV139"/>
      <c r="AW139"/>
      <c r="AX139"/>
      <c r="AY139" s="659" t="e">
        <f>AY4+AY8+#REF!+#REF!+#REF!+AY12+AY16+AY20+AY24+AY28+AY32+AY36+AY41+AY45+AY49+AY54+AY58+AY62+AY66+AY70+AY74+AY78+AY82+AY86+AY90+AY94+AY98+AY102+AY106+AY110+AY118+AY122+AY114+AY126+AY130</f>
        <v>#REF!</v>
      </c>
      <c r="AZ139"/>
      <c r="BA139"/>
      <c r="BB139"/>
      <c r="BC139"/>
      <c r="BD139"/>
    </row>
    <row r="142" spans="1:58" ht="14.4">
      <c r="A142"/>
      <c r="B142"/>
      <c r="C142"/>
      <c r="D142"/>
      <c r="E142"/>
    </row>
    <row r="143" spans="1:58" ht="14.4">
      <c r="A143"/>
      <c r="B143"/>
      <c r="C143"/>
      <c r="D143"/>
      <c r="E143"/>
      <c r="AM143" s="661"/>
      <c r="AN143" s="661"/>
    </row>
    <row r="144" spans="1:58" ht="14.4">
      <c r="A144"/>
      <c r="B144"/>
      <c r="C144"/>
      <c r="D144"/>
      <c r="E144"/>
      <c r="AT144" s="189" t="s">
        <v>220</v>
      </c>
    </row>
    <row r="145" spans="1:22" ht="14.4">
      <c r="A145"/>
      <c r="B145"/>
      <c r="C145"/>
      <c r="D145"/>
      <c r="E145"/>
    </row>
    <row r="146" spans="1:22" ht="14.4">
      <c r="A146"/>
      <c r="B146"/>
      <c r="C146"/>
      <c r="D146"/>
      <c r="E146"/>
    </row>
    <row r="147" spans="1:22" ht="14.4">
      <c r="A147"/>
      <c r="B147"/>
      <c r="C147"/>
      <c r="D147"/>
      <c r="E147"/>
    </row>
    <row r="148" spans="1:22" ht="14.4">
      <c r="A148"/>
      <c r="B148" s="1263"/>
      <c r="C148" s="1264"/>
      <c r="D148" s="1264"/>
      <c r="E148"/>
    </row>
    <row r="149" spans="1:22" ht="14.4">
      <c r="A149"/>
      <c r="B149" s="716"/>
      <c r="C149" s="716"/>
      <c r="D149" s="716"/>
      <c r="E149"/>
    </row>
    <row r="150" spans="1:22" ht="14.4">
      <c r="A150"/>
      <c r="B150"/>
      <c r="C150" s="715"/>
      <c r="D150"/>
      <c r="E150"/>
    </row>
    <row r="151" spans="1:22" ht="14.4">
      <c r="A151"/>
      <c r="B151"/>
      <c r="C151"/>
      <c r="D151"/>
      <c r="E151"/>
    </row>
    <row r="152" spans="1:22" ht="14.4">
      <c r="A152"/>
      <c r="B152"/>
      <c r="C152"/>
      <c r="D152"/>
      <c r="E152"/>
    </row>
    <row r="153" spans="1:22" ht="14.4">
      <c r="A153"/>
      <c r="B153"/>
      <c r="C153"/>
      <c r="D153"/>
      <c r="E153"/>
      <c r="U153"/>
    </row>
    <row r="154" spans="1:22" ht="14.4">
      <c r="A154"/>
      <c r="B154"/>
      <c r="C154"/>
      <c r="D154"/>
      <c r="E154"/>
    </row>
    <row r="155" spans="1:22" ht="14.4">
      <c r="A155"/>
      <c r="B155"/>
      <c r="C155"/>
      <c r="D155"/>
      <c r="E155"/>
    </row>
    <row r="156" spans="1:22" ht="14.4">
      <c r="A156"/>
      <c r="B156"/>
      <c r="C156"/>
      <c r="D156"/>
      <c r="E156"/>
      <c r="U156"/>
      <c r="V156"/>
    </row>
    <row r="157" spans="1:22" ht="14.4">
      <c r="A157"/>
      <c r="B157"/>
      <c r="C157"/>
      <c r="D157"/>
      <c r="E157"/>
      <c r="U157"/>
      <c r="V157"/>
    </row>
    <row r="158" spans="1:22" ht="14.4">
      <c r="U158"/>
      <c r="V158"/>
    </row>
    <row r="159" spans="1:22" ht="14.4">
      <c r="U159"/>
      <c r="V159"/>
    </row>
    <row r="160" spans="1:22" ht="14.4">
      <c r="U160"/>
      <c r="V160"/>
    </row>
    <row r="161" spans="1:22" ht="14.4">
      <c r="U161"/>
      <c r="V161"/>
    </row>
    <row r="162" spans="1:22" ht="14.4">
      <c r="U162"/>
      <c r="V162"/>
    </row>
    <row r="163" spans="1:22" ht="14.4">
      <c r="U163"/>
      <c r="V163"/>
    </row>
    <row r="164" spans="1:22" ht="14.4">
      <c r="U164"/>
      <c r="V164"/>
    </row>
    <row r="165" spans="1:22" ht="14.4">
      <c r="U165"/>
      <c r="V165"/>
    </row>
    <row r="166" spans="1:22" ht="14.4">
      <c r="U166"/>
      <c r="V166"/>
    </row>
    <row r="167" spans="1:22" ht="14.4">
      <c r="U167"/>
      <c r="V167"/>
    </row>
    <row r="168" spans="1:22" ht="14.4">
      <c r="U168"/>
      <c r="V168"/>
    </row>
    <row r="169" spans="1:22" ht="14.4">
      <c r="A169"/>
      <c r="B169"/>
      <c r="C169"/>
      <c r="D169"/>
      <c r="E169"/>
      <c r="U169"/>
      <c r="V169"/>
    </row>
    <row r="170" spans="1:22" ht="14.4">
      <c r="A170"/>
      <c r="B170"/>
      <c r="C170"/>
      <c r="D170"/>
      <c r="E170"/>
      <c r="U170"/>
      <c r="V170"/>
    </row>
    <row r="171" spans="1:22" ht="14.4">
      <c r="A171"/>
      <c r="B171"/>
      <c r="C171"/>
      <c r="D171"/>
      <c r="E171"/>
      <c r="U171"/>
      <c r="V171"/>
    </row>
    <row r="172" spans="1:22" ht="14.4">
      <c r="A172"/>
      <c r="B172"/>
      <c r="C172"/>
      <c r="D172"/>
      <c r="E172"/>
    </row>
    <row r="173" spans="1:22" ht="14.4">
      <c r="A173"/>
      <c r="B173"/>
      <c r="C173"/>
      <c r="D173"/>
      <c r="E173"/>
    </row>
  </sheetData>
  <autoFilter ref="A2:AU112" xr:uid="{00000000-0009-0000-0000-000000000000}"/>
  <mergeCells count="417">
    <mergeCell ref="D1:J1"/>
    <mergeCell ref="K1:L1"/>
    <mergeCell ref="M1:N1"/>
    <mergeCell ref="O1:P1"/>
    <mergeCell ref="Q1:R1"/>
    <mergeCell ref="S1:T1"/>
    <mergeCell ref="AU1:AV1"/>
    <mergeCell ref="AW1:AX1"/>
    <mergeCell ref="AY1:AZ1"/>
    <mergeCell ref="BA1:BC1"/>
    <mergeCell ref="K2:L2"/>
    <mergeCell ref="M2:N2"/>
    <mergeCell ref="AG1:AH1"/>
    <mergeCell ref="AI1:AJ1"/>
    <mergeCell ref="AK1:AL1"/>
    <mergeCell ref="AM1:AN1"/>
    <mergeCell ref="AO1:AP1"/>
    <mergeCell ref="AQ1:AR1"/>
    <mergeCell ref="U1:V1"/>
    <mergeCell ref="W1:X1"/>
    <mergeCell ref="Y1:Z1"/>
    <mergeCell ref="AA1:AB1"/>
    <mergeCell ref="AC1:AD1"/>
    <mergeCell ref="AE1:AF1"/>
    <mergeCell ref="BA7:BA10"/>
    <mergeCell ref="A11:A14"/>
    <mergeCell ref="B11:B14"/>
    <mergeCell ref="C11:C14"/>
    <mergeCell ref="D11:D14"/>
    <mergeCell ref="E11:E14"/>
    <mergeCell ref="F11:F14"/>
    <mergeCell ref="G3:G6"/>
    <mergeCell ref="L3:L6"/>
    <mergeCell ref="N3:N6"/>
    <mergeCell ref="BA3:BA6"/>
    <mergeCell ref="A7:A10"/>
    <mergeCell ref="B7:B10"/>
    <mergeCell ref="C7:C10"/>
    <mergeCell ref="D7:D10"/>
    <mergeCell ref="E7:E10"/>
    <mergeCell ref="F7:F10"/>
    <mergeCell ref="A3:A6"/>
    <mergeCell ref="B3:B6"/>
    <mergeCell ref="C3:C6"/>
    <mergeCell ref="D3:D6"/>
    <mergeCell ref="E3:E6"/>
    <mergeCell ref="F3:F6"/>
    <mergeCell ref="A15:A18"/>
    <mergeCell ref="B15:B18"/>
    <mergeCell ref="C15:C18"/>
    <mergeCell ref="D15:D18"/>
    <mergeCell ref="E15:E18"/>
    <mergeCell ref="F15:F18"/>
    <mergeCell ref="G7:G10"/>
    <mergeCell ref="P7:P10"/>
    <mergeCell ref="Z7:Z10"/>
    <mergeCell ref="G15:G18"/>
    <mergeCell ref="N15:N18"/>
    <mergeCell ref="V15:V18"/>
    <mergeCell ref="X15:X18"/>
    <mergeCell ref="Z15:Z18"/>
    <mergeCell ref="BA15:BA18"/>
    <mergeCell ref="G11:G14"/>
    <mergeCell ref="N11:N14"/>
    <mergeCell ref="P11:P14"/>
    <mergeCell ref="BA11:BA14"/>
    <mergeCell ref="BA19:BA22"/>
    <mergeCell ref="A23:A26"/>
    <mergeCell ref="B23:B26"/>
    <mergeCell ref="C23:C26"/>
    <mergeCell ref="D23:D26"/>
    <mergeCell ref="E23:E26"/>
    <mergeCell ref="F23:F26"/>
    <mergeCell ref="G23:G26"/>
    <mergeCell ref="L23:L26"/>
    <mergeCell ref="N23:N26"/>
    <mergeCell ref="G19:G22"/>
    <mergeCell ref="L19:L22"/>
    <mergeCell ref="N19:N22"/>
    <mergeCell ref="P19:P22"/>
    <mergeCell ref="R19:R22"/>
    <mergeCell ref="T19:T22"/>
    <mergeCell ref="A19:A22"/>
    <mergeCell ref="B19:B22"/>
    <mergeCell ref="C19:C22"/>
    <mergeCell ref="D19:D22"/>
    <mergeCell ref="E19:E22"/>
    <mergeCell ref="F19:F22"/>
    <mergeCell ref="BA23:BA26"/>
    <mergeCell ref="A27:A30"/>
    <mergeCell ref="B27:B30"/>
    <mergeCell ref="C27:C30"/>
    <mergeCell ref="D27:D30"/>
    <mergeCell ref="E27:E30"/>
    <mergeCell ref="F27:F30"/>
    <mergeCell ref="G27:G30"/>
    <mergeCell ref="L27:L30"/>
    <mergeCell ref="N27:N30"/>
    <mergeCell ref="P23:P26"/>
    <mergeCell ref="R23:R26"/>
    <mergeCell ref="T23:T26"/>
    <mergeCell ref="X23:X26"/>
    <mergeCell ref="AD23:AD26"/>
    <mergeCell ref="AJ23:AJ26"/>
    <mergeCell ref="P27:P30"/>
    <mergeCell ref="R27:R30"/>
    <mergeCell ref="T27:T30"/>
    <mergeCell ref="Z27:Z30"/>
    <mergeCell ref="BA27:BA30"/>
    <mergeCell ref="A31:A34"/>
    <mergeCell ref="B31:B34"/>
    <mergeCell ref="C31:C34"/>
    <mergeCell ref="D31:D34"/>
    <mergeCell ref="E31:E34"/>
    <mergeCell ref="A35:A39"/>
    <mergeCell ref="B35:B39"/>
    <mergeCell ref="C35:C39"/>
    <mergeCell ref="D35:D39"/>
    <mergeCell ref="F35:F39"/>
    <mergeCell ref="G35:G39"/>
    <mergeCell ref="L35:L39"/>
    <mergeCell ref="AH31:AH34"/>
    <mergeCell ref="AJ31:AJ34"/>
    <mergeCell ref="T31:T34"/>
    <mergeCell ref="V31:V34"/>
    <mergeCell ref="X31:X34"/>
    <mergeCell ref="AB31:AB34"/>
    <mergeCell ref="AD31:AD34"/>
    <mergeCell ref="AF31:AF34"/>
    <mergeCell ref="F31:F34"/>
    <mergeCell ref="G31:G34"/>
    <mergeCell ref="L31:L34"/>
    <mergeCell ref="N31:N34"/>
    <mergeCell ref="P31:P34"/>
    <mergeCell ref="R31:R34"/>
    <mergeCell ref="P35:P39"/>
    <mergeCell ref="R35:R39"/>
    <mergeCell ref="V35:V39"/>
    <mergeCell ref="Z35:Z39"/>
    <mergeCell ref="AB35:AB37"/>
    <mergeCell ref="BA35:BA39"/>
    <mergeCell ref="AT31:AT34"/>
    <mergeCell ref="AV31:AV34"/>
    <mergeCell ref="BA31:BA34"/>
    <mergeCell ref="AL31:AL34"/>
    <mergeCell ref="AN31:AN34"/>
    <mergeCell ref="AP31:AP34"/>
    <mergeCell ref="AR31:AR34"/>
    <mergeCell ref="R44:R47"/>
    <mergeCell ref="T44:T47"/>
    <mergeCell ref="V44:V47"/>
    <mergeCell ref="G40:G43"/>
    <mergeCell ref="P40:P43"/>
    <mergeCell ref="T40:T43"/>
    <mergeCell ref="V40:V43"/>
    <mergeCell ref="BA40:BA43"/>
    <mergeCell ref="A44:A47"/>
    <mergeCell ref="B44:B47"/>
    <mergeCell ref="C44:C47"/>
    <mergeCell ref="D44:D47"/>
    <mergeCell ref="E44:E47"/>
    <mergeCell ref="A40:A43"/>
    <mergeCell ref="B40:B43"/>
    <mergeCell ref="C40:C43"/>
    <mergeCell ref="D40:D43"/>
    <mergeCell ref="E40:E43"/>
    <mergeCell ref="F40:F43"/>
    <mergeCell ref="A48:A52"/>
    <mergeCell ref="B48:B52"/>
    <mergeCell ref="C48:C52"/>
    <mergeCell ref="D48:D52"/>
    <mergeCell ref="E48:E52"/>
    <mergeCell ref="F48:F52"/>
    <mergeCell ref="F44:F47"/>
    <mergeCell ref="L44:L47"/>
    <mergeCell ref="P44:P47"/>
    <mergeCell ref="T48:T52"/>
    <mergeCell ref="V48:V52"/>
    <mergeCell ref="X48:X52"/>
    <mergeCell ref="AB48:AB52"/>
    <mergeCell ref="AD48:AD52"/>
    <mergeCell ref="BA48:BA52"/>
    <mergeCell ref="X44:X47"/>
    <mergeCell ref="AB44:AB47"/>
    <mergeCell ref="AD44:AD47"/>
    <mergeCell ref="BA44:BA47"/>
    <mergeCell ref="X53:X56"/>
    <mergeCell ref="Z53:Z56"/>
    <mergeCell ref="AD53:AD56"/>
    <mergeCell ref="BA53:BA56"/>
    <mergeCell ref="A57:A60"/>
    <mergeCell ref="B57:B60"/>
    <mergeCell ref="C57:C60"/>
    <mergeCell ref="D57:D60"/>
    <mergeCell ref="E57:E60"/>
    <mergeCell ref="N57:N60"/>
    <mergeCell ref="L53:L56"/>
    <mergeCell ref="N53:N56"/>
    <mergeCell ref="P53:P56"/>
    <mergeCell ref="R53:R56"/>
    <mergeCell ref="T53:T56"/>
    <mergeCell ref="V53:V56"/>
    <mergeCell ref="A53:A56"/>
    <mergeCell ref="B53:B56"/>
    <mergeCell ref="C53:C56"/>
    <mergeCell ref="D53:D56"/>
    <mergeCell ref="E53:E56"/>
    <mergeCell ref="F53:F56"/>
    <mergeCell ref="AT57:AT60"/>
    <mergeCell ref="AV57:AV60"/>
    <mergeCell ref="BA57:BA60"/>
    <mergeCell ref="A61:A64"/>
    <mergeCell ref="B61:B64"/>
    <mergeCell ref="C61:C64"/>
    <mergeCell ref="D61:D64"/>
    <mergeCell ref="E61:E64"/>
    <mergeCell ref="F61:F64"/>
    <mergeCell ref="G61:G62"/>
    <mergeCell ref="R57:R60"/>
    <mergeCell ref="T57:T60"/>
    <mergeCell ref="Z57:Z60"/>
    <mergeCell ref="AF57:AF60"/>
    <mergeCell ref="AL57:AL60"/>
    <mergeCell ref="AR57:AR60"/>
    <mergeCell ref="P61:P64"/>
    <mergeCell ref="V61:V64"/>
    <mergeCell ref="Z61:Z64"/>
    <mergeCell ref="BA61:BA64"/>
    <mergeCell ref="G63:G64"/>
    <mergeCell ref="A65:A68"/>
    <mergeCell ref="B65:B68"/>
    <mergeCell ref="C65:C68"/>
    <mergeCell ref="D65:D68"/>
    <mergeCell ref="E65:E68"/>
    <mergeCell ref="F65:F68"/>
    <mergeCell ref="G65:G68"/>
    <mergeCell ref="P65:P68"/>
    <mergeCell ref="BA65:BA68"/>
    <mergeCell ref="A69:A72"/>
    <mergeCell ref="B69:B72"/>
    <mergeCell ref="C69:C72"/>
    <mergeCell ref="D69:D72"/>
    <mergeCell ref="E69:E72"/>
    <mergeCell ref="F69:F72"/>
    <mergeCell ref="Z73:Z76"/>
    <mergeCell ref="BA73:BA76"/>
    <mergeCell ref="A77:A80"/>
    <mergeCell ref="B77:B80"/>
    <mergeCell ref="C77:C80"/>
    <mergeCell ref="D77:D80"/>
    <mergeCell ref="E77:E80"/>
    <mergeCell ref="G69:G72"/>
    <mergeCell ref="P69:P72"/>
    <mergeCell ref="BA69:BA72"/>
    <mergeCell ref="L72:L75"/>
    <mergeCell ref="A73:A76"/>
    <mergeCell ref="B73:B76"/>
    <mergeCell ref="C73:C76"/>
    <mergeCell ref="D73:D76"/>
    <mergeCell ref="E73:E76"/>
    <mergeCell ref="F73:F76"/>
    <mergeCell ref="A81:A84"/>
    <mergeCell ref="B81:B84"/>
    <mergeCell ref="C81:C84"/>
    <mergeCell ref="D81:D84"/>
    <mergeCell ref="E81:E84"/>
    <mergeCell ref="F81:F84"/>
    <mergeCell ref="G73:G76"/>
    <mergeCell ref="P73:P76"/>
    <mergeCell ref="T73:T76"/>
    <mergeCell ref="G81:G84"/>
    <mergeCell ref="R81:R84"/>
    <mergeCell ref="Z81:Z84"/>
    <mergeCell ref="BA81:BA84"/>
    <mergeCell ref="AC82:AC84"/>
    <mergeCell ref="AD82:AD84"/>
    <mergeCell ref="F77:F80"/>
    <mergeCell ref="G77:G80"/>
    <mergeCell ref="R77:R80"/>
    <mergeCell ref="BA77:BA80"/>
    <mergeCell ref="G85:G88"/>
    <mergeCell ref="R85:R88"/>
    <mergeCell ref="AF85:AF88"/>
    <mergeCell ref="BA85:BA88"/>
    <mergeCell ref="A89:A92"/>
    <mergeCell ref="B89:B92"/>
    <mergeCell ref="C89:C92"/>
    <mergeCell ref="D89:D92"/>
    <mergeCell ref="E89:E92"/>
    <mergeCell ref="F89:F92"/>
    <mergeCell ref="A85:A88"/>
    <mergeCell ref="B85:B88"/>
    <mergeCell ref="C85:C88"/>
    <mergeCell ref="D85:D88"/>
    <mergeCell ref="E85:E88"/>
    <mergeCell ref="F85:F88"/>
    <mergeCell ref="G89:G92"/>
    <mergeCell ref="R89:R92"/>
    <mergeCell ref="AF89:AF92"/>
    <mergeCell ref="BA89:BA92"/>
    <mergeCell ref="A93:A96"/>
    <mergeCell ref="B93:B96"/>
    <mergeCell ref="C93:C96"/>
    <mergeCell ref="D93:D96"/>
    <mergeCell ref="E93:E96"/>
    <mergeCell ref="F93:F96"/>
    <mergeCell ref="G93:G96"/>
    <mergeCell ref="V93:V96"/>
    <mergeCell ref="BA93:BA96"/>
    <mergeCell ref="A97:A100"/>
    <mergeCell ref="B97:B100"/>
    <mergeCell ref="C97:C100"/>
    <mergeCell ref="D97:D100"/>
    <mergeCell ref="E97:E100"/>
    <mergeCell ref="F97:F100"/>
    <mergeCell ref="G97:G100"/>
    <mergeCell ref="BA97:BA100"/>
    <mergeCell ref="A101:A104"/>
    <mergeCell ref="B101:B104"/>
    <mergeCell ref="C101:C104"/>
    <mergeCell ref="D101:D104"/>
    <mergeCell ref="E101:E104"/>
    <mergeCell ref="F101:F104"/>
    <mergeCell ref="G101:G104"/>
    <mergeCell ref="X101:X104"/>
    <mergeCell ref="BA101:BA104"/>
    <mergeCell ref="G105:G108"/>
    <mergeCell ref="AB105:AB108"/>
    <mergeCell ref="AH105:AH108"/>
    <mergeCell ref="BA105:BA108"/>
    <mergeCell ref="A109:A112"/>
    <mergeCell ref="B109:B112"/>
    <mergeCell ref="C109:C112"/>
    <mergeCell ref="D109:D112"/>
    <mergeCell ref="E109:E112"/>
    <mergeCell ref="F109:F112"/>
    <mergeCell ref="A105:A108"/>
    <mergeCell ref="B105:B108"/>
    <mergeCell ref="C105:C108"/>
    <mergeCell ref="D105:D108"/>
    <mergeCell ref="E105:E108"/>
    <mergeCell ref="F105:F108"/>
    <mergeCell ref="G109:G112"/>
    <mergeCell ref="AH109:AH112"/>
    <mergeCell ref="BA109:BA112"/>
    <mergeCell ref="AB110:AB112"/>
    <mergeCell ref="AD110:AD112"/>
    <mergeCell ref="A113:A116"/>
    <mergeCell ref="B113:B116"/>
    <mergeCell ref="C113:C116"/>
    <mergeCell ref="D113:D116"/>
    <mergeCell ref="E113:E116"/>
    <mergeCell ref="BA113:BA116"/>
    <mergeCell ref="Z114:Z116"/>
    <mergeCell ref="AJ114:AJ116"/>
    <mergeCell ref="A117:A120"/>
    <mergeCell ref="B117:B120"/>
    <mergeCell ref="C117:C120"/>
    <mergeCell ref="D117:D120"/>
    <mergeCell ref="E117:E120"/>
    <mergeCell ref="F117:F120"/>
    <mergeCell ref="G117:G120"/>
    <mergeCell ref="F113:F116"/>
    <mergeCell ref="G113:G116"/>
    <mergeCell ref="AB113:AB116"/>
    <mergeCell ref="AD113:AD116"/>
    <mergeCell ref="AF113:AF116"/>
    <mergeCell ref="AH113:AH116"/>
    <mergeCell ref="AH117:AH120"/>
    <mergeCell ref="AJ117:AJ120"/>
    <mergeCell ref="AL117:AL120"/>
    <mergeCell ref="BA117:BA120"/>
    <mergeCell ref="A121:A124"/>
    <mergeCell ref="B121:B124"/>
    <mergeCell ref="C121:C124"/>
    <mergeCell ref="D121:D124"/>
    <mergeCell ref="E121:E124"/>
    <mergeCell ref="F121:F124"/>
    <mergeCell ref="V117:V119"/>
    <mergeCell ref="X117:X120"/>
    <mergeCell ref="Z117:Z120"/>
    <mergeCell ref="AB117:AB120"/>
    <mergeCell ref="AD117:AD120"/>
    <mergeCell ref="AF117:AF120"/>
    <mergeCell ref="G121:G124"/>
    <mergeCell ref="Z121:Z124"/>
    <mergeCell ref="AL121:AL124"/>
    <mergeCell ref="BA121:BA124"/>
    <mergeCell ref="A125:A128"/>
    <mergeCell ref="B125:B128"/>
    <mergeCell ref="C125:C128"/>
    <mergeCell ref="F125:F128"/>
    <mergeCell ref="G125:G128"/>
    <mergeCell ref="V125:V127"/>
    <mergeCell ref="A129:A132"/>
    <mergeCell ref="B129:B132"/>
    <mergeCell ref="C129:C132"/>
    <mergeCell ref="F129:F132"/>
    <mergeCell ref="G129:G132"/>
    <mergeCell ref="V129:V131"/>
    <mergeCell ref="X129:X132"/>
    <mergeCell ref="Z129:Z132"/>
    <mergeCell ref="X125:X128"/>
    <mergeCell ref="Z125:Z128"/>
    <mergeCell ref="B148:D148"/>
    <mergeCell ref="AB129:AB132"/>
    <mergeCell ref="AD129:AD132"/>
    <mergeCell ref="AF129:AF132"/>
    <mergeCell ref="AH129:AH132"/>
    <mergeCell ref="AJ129:AJ132"/>
    <mergeCell ref="AL129:AL132"/>
    <mergeCell ref="AJ125:AJ128"/>
    <mergeCell ref="AL125:AL128"/>
    <mergeCell ref="AB125:AB128"/>
    <mergeCell ref="AD125:AD128"/>
    <mergeCell ref="AF125:AF128"/>
    <mergeCell ref="AH125:AH12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47"/>
  <sheetViews>
    <sheetView tabSelected="1" zoomScale="90" zoomScaleNormal="90" workbookViewId="0">
      <pane ySplit="2" topLeftCell="A3" activePane="bottomLeft" state="frozen"/>
      <selection pane="bottomLeft" activeCell="B83" sqref="B83:B86"/>
    </sheetView>
  </sheetViews>
  <sheetFormatPr defaultColWidth="9" defaultRowHeight="12.3"/>
  <cols>
    <col min="1" max="1" width="7.41796875" style="117" customWidth="1"/>
    <col min="2" max="2" width="26.89453125" style="118" customWidth="1"/>
    <col min="3" max="3" width="18.3125" style="119" customWidth="1"/>
    <col min="4" max="4" width="16" style="120" customWidth="1"/>
    <col min="5" max="5" width="52.3125" style="117" customWidth="1"/>
    <col min="6" max="6" width="15.1015625" style="121" customWidth="1"/>
    <col min="7" max="7" width="11.41796875" style="117" customWidth="1"/>
    <col min="8" max="8" width="12" style="117" customWidth="1"/>
    <col min="9" max="9" width="11.41796875" style="117" customWidth="1"/>
    <col min="10" max="10" width="15.68359375" style="117" customWidth="1"/>
    <col min="11" max="11" width="12" style="117" customWidth="1"/>
    <col min="12" max="12" width="11.41796875" style="117" customWidth="1"/>
    <col min="13" max="13" width="12.68359375" style="117" customWidth="1"/>
    <col min="14" max="14" width="10.41796875" style="117" customWidth="1"/>
    <col min="15" max="15" width="11" style="117" customWidth="1"/>
    <col min="16" max="16" width="14.89453125" style="117" customWidth="1"/>
    <col min="17" max="17" width="13" style="117" customWidth="1"/>
    <col min="18" max="18" width="11" style="117" customWidth="1"/>
    <col min="19" max="19" width="10.5234375" style="117" customWidth="1"/>
    <col min="20" max="20" width="11.5234375" style="117" customWidth="1"/>
    <col min="21" max="21" width="10.41796875" style="117" customWidth="1"/>
    <col min="22" max="22" width="9.68359375" style="117" customWidth="1"/>
    <col min="23" max="23" width="10.89453125" style="117" customWidth="1"/>
    <col min="24" max="24" width="14.41796875" style="117" customWidth="1"/>
    <col min="25" max="25" width="9" style="117"/>
    <col min="26" max="26" width="11" style="117" customWidth="1"/>
    <col min="27" max="31" width="9" style="117"/>
    <col min="32" max="32" width="10.89453125" style="117" customWidth="1"/>
    <col min="33" max="33" width="9" style="117"/>
    <col min="34" max="34" width="10.41796875" style="117" customWidth="1"/>
    <col min="35" max="35" width="11.1015625" style="117" customWidth="1"/>
    <col min="36" max="36" width="10" style="117" customWidth="1"/>
    <col min="37" max="37" width="9" style="117"/>
    <col min="38" max="38" width="11.89453125" style="117" customWidth="1"/>
    <col min="39" max="41" width="9" style="117"/>
    <col min="42" max="42" width="10" style="117" customWidth="1"/>
    <col min="43" max="16384" width="9" style="117"/>
  </cols>
  <sheetData>
    <row r="1" spans="1:41">
      <c r="A1" s="122" t="s">
        <v>0</v>
      </c>
      <c r="B1" s="123" t="s">
        <v>1</v>
      </c>
      <c r="C1" s="1485">
        <v>45413</v>
      </c>
      <c r="D1" s="1485"/>
      <c r="E1" s="1485"/>
      <c r="F1" s="1485">
        <v>45474</v>
      </c>
      <c r="G1" s="1485"/>
      <c r="H1" s="1485">
        <v>45505</v>
      </c>
      <c r="I1" s="1485"/>
      <c r="J1" s="1485">
        <v>45536</v>
      </c>
      <c r="K1" s="1485"/>
      <c r="L1" s="1485">
        <v>45566</v>
      </c>
      <c r="M1" s="1485"/>
      <c r="N1" s="1486">
        <v>45597</v>
      </c>
      <c r="O1" s="1487"/>
      <c r="P1" s="1486">
        <v>45627</v>
      </c>
      <c r="Q1" s="1486"/>
      <c r="R1" s="1488">
        <v>45658</v>
      </c>
      <c r="S1" s="1488"/>
      <c r="T1" s="1488">
        <v>45689</v>
      </c>
      <c r="U1" s="1488"/>
      <c r="V1" s="1488">
        <v>45717</v>
      </c>
      <c r="W1" s="1488"/>
      <c r="X1" s="1488">
        <v>45748</v>
      </c>
      <c r="Y1" s="1488"/>
      <c r="Z1" s="1488">
        <v>45778</v>
      </c>
      <c r="AA1" s="1488"/>
      <c r="AB1" s="1488">
        <v>45809</v>
      </c>
      <c r="AC1" s="1488"/>
      <c r="AD1" s="1488">
        <v>45839</v>
      </c>
      <c r="AE1" s="1488"/>
      <c r="AF1" s="1488">
        <v>45870</v>
      </c>
      <c r="AG1" s="1488"/>
      <c r="AH1" s="1488">
        <v>45901</v>
      </c>
      <c r="AI1" s="1488"/>
      <c r="AJ1" s="1488">
        <v>45931</v>
      </c>
      <c r="AK1" s="1488"/>
      <c r="AL1" s="1488">
        <v>45962</v>
      </c>
      <c r="AM1" s="1488"/>
      <c r="AN1" s="1488">
        <v>45992</v>
      </c>
      <c r="AO1" s="1488"/>
    </row>
    <row r="2" spans="1:41">
      <c r="A2" s="124"/>
      <c r="B2" s="125"/>
      <c r="C2" s="126" t="s">
        <v>13</v>
      </c>
      <c r="D2" s="124" t="s">
        <v>7</v>
      </c>
      <c r="E2" s="127" t="s">
        <v>12</v>
      </c>
      <c r="F2" s="126" t="s">
        <v>13</v>
      </c>
      <c r="G2" s="128" t="s">
        <v>12</v>
      </c>
      <c r="H2" s="124" t="s">
        <v>13</v>
      </c>
      <c r="I2" s="124" t="s">
        <v>12</v>
      </c>
      <c r="J2" s="124" t="s">
        <v>13</v>
      </c>
      <c r="K2" s="124" t="s">
        <v>12</v>
      </c>
      <c r="L2" s="124" t="s">
        <v>13</v>
      </c>
      <c r="M2" s="124" t="s">
        <v>12</v>
      </c>
      <c r="N2" s="148" t="s">
        <v>13</v>
      </c>
      <c r="O2" s="148" t="s">
        <v>12</v>
      </c>
      <c r="P2" s="148" t="s">
        <v>13</v>
      </c>
      <c r="Q2" s="148" t="s">
        <v>12</v>
      </c>
      <c r="R2" s="148" t="s">
        <v>13</v>
      </c>
      <c r="S2" s="148" t="s">
        <v>12</v>
      </c>
      <c r="T2" s="148" t="s">
        <v>13</v>
      </c>
      <c r="U2" s="148" t="s">
        <v>12</v>
      </c>
      <c r="V2" s="148" t="s">
        <v>13</v>
      </c>
      <c r="W2" s="148" t="s">
        <v>12</v>
      </c>
      <c r="X2" s="148" t="s">
        <v>13</v>
      </c>
      <c r="Y2" s="148" t="s">
        <v>12</v>
      </c>
      <c r="Z2" s="148" t="s">
        <v>13</v>
      </c>
      <c r="AA2" s="148" t="s">
        <v>12</v>
      </c>
      <c r="AB2" s="148" t="s">
        <v>13</v>
      </c>
      <c r="AC2" s="148" t="s">
        <v>12</v>
      </c>
      <c r="AD2" s="148" t="s">
        <v>13</v>
      </c>
      <c r="AE2" s="148" t="s">
        <v>12</v>
      </c>
      <c r="AF2" s="148" t="s">
        <v>13</v>
      </c>
      <c r="AG2" s="148" t="s">
        <v>12</v>
      </c>
      <c r="AH2" s="148" t="s">
        <v>13</v>
      </c>
      <c r="AI2" s="148" t="s">
        <v>12</v>
      </c>
      <c r="AJ2" s="148" t="s">
        <v>13</v>
      </c>
      <c r="AK2" s="148" t="s">
        <v>12</v>
      </c>
      <c r="AL2" s="148" t="s">
        <v>13</v>
      </c>
      <c r="AM2" s="148" t="s">
        <v>12</v>
      </c>
      <c r="AN2" s="148" t="s">
        <v>13</v>
      </c>
      <c r="AO2" s="148" t="s">
        <v>12</v>
      </c>
    </row>
    <row r="3" spans="1:41" ht="14.4" customHeight="1">
      <c r="A3" s="1489">
        <v>1</v>
      </c>
      <c r="B3" s="1503" t="s">
        <v>222</v>
      </c>
      <c r="C3" s="1525">
        <v>672000</v>
      </c>
      <c r="D3" s="1545" t="s">
        <v>223</v>
      </c>
      <c r="E3" s="129" t="s">
        <v>224</v>
      </c>
      <c r="F3" s="1556">
        <v>672000</v>
      </c>
      <c r="G3" s="1581" t="s">
        <v>225</v>
      </c>
      <c r="H3" s="1599">
        <v>672000</v>
      </c>
      <c r="I3" s="1619" t="s">
        <v>226</v>
      </c>
      <c r="J3" s="1497"/>
      <c r="K3" s="132"/>
      <c r="L3" s="1497"/>
      <c r="M3" s="132"/>
      <c r="N3" s="1497"/>
      <c r="O3" s="132"/>
      <c r="P3" s="1497"/>
      <c r="Q3" s="129"/>
      <c r="R3" s="1497"/>
      <c r="S3" s="129"/>
      <c r="T3" s="1497"/>
      <c r="U3" s="129"/>
      <c r="V3" s="1497"/>
      <c r="W3" s="129"/>
      <c r="X3" s="1497"/>
      <c r="Y3" s="129"/>
      <c r="Z3" s="1497"/>
      <c r="AA3" s="129"/>
      <c r="AB3" s="1497"/>
      <c r="AC3" s="129"/>
      <c r="AD3" s="1497"/>
      <c r="AE3" s="129"/>
      <c r="AF3" s="1497"/>
      <c r="AG3" s="129"/>
      <c r="AH3" s="1497"/>
      <c r="AI3" s="129"/>
      <c r="AJ3" s="1497"/>
      <c r="AK3" s="129"/>
      <c r="AL3" s="1497"/>
      <c r="AM3" s="129"/>
      <c r="AN3" s="1497"/>
      <c r="AO3" s="129"/>
    </row>
    <row r="4" spans="1:41">
      <c r="A4" s="1489"/>
      <c r="B4" s="1504"/>
      <c r="C4" s="1525"/>
      <c r="D4" s="1546"/>
      <c r="E4" s="129" t="s">
        <v>227</v>
      </c>
      <c r="F4" s="1556"/>
      <c r="G4" s="1582"/>
      <c r="H4" s="1599"/>
      <c r="I4" s="1582"/>
      <c r="J4" s="1497"/>
      <c r="K4" s="134"/>
      <c r="L4" s="1497"/>
      <c r="M4" s="134"/>
      <c r="N4" s="1497"/>
      <c r="O4" s="134"/>
      <c r="P4" s="1497"/>
      <c r="Q4" s="129"/>
      <c r="R4" s="1497"/>
      <c r="S4" s="129"/>
      <c r="T4" s="1497"/>
      <c r="U4" s="129"/>
      <c r="V4" s="1497"/>
      <c r="W4" s="129"/>
      <c r="X4" s="1497"/>
      <c r="Y4" s="129"/>
      <c r="Z4" s="1497"/>
      <c r="AA4" s="129"/>
      <c r="AB4" s="1497"/>
      <c r="AC4" s="129"/>
      <c r="AD4" s="1497"/>
      <c r="AE4" s="129"/>
      <c r="AF4" s="1497"/>
      <c r="AG4" s="129"/>
      <c r="AH4" s="1497"/>
      <c r="AI4" s="129"/>
      <c r="AJ4" s="1497"/>
      <c r="AK4" s="129"/>
      <c r="AL4" s="1497"/>
      <c r="AM4" s="129"/>
      <c r="AN4" s="1497"/>
      <c r="AO4" s="129"/>
    </row>
    <row r="5" spans="1:41">
      <c r="A5" s="1489"/>
      <c r="B5" s="1504"/>
      <c r="C5" s="1525"/>
      <c r="D5" s="1546"/>
      <c r="E5" s="130" t="s">
        <v>228</v>
      </c>
      <c r="F5" s="1556"/>
      <c r="G5" s="1582"/>
      <c r="H5" s="1599"/>
      <c r="I5" s="1582"/>
      <c r="J5" s="1497"/>
      <c r="K5" s="132"/>
      <c r="L5" s="1497"/>
      <c r="M5" s="132"/>
      <c r="N5" s="1497"/>
      <c r="O5" s="132"/>
      <c r="P5" s="1497"/>
      <c r="Q5" s="129"/>
      <c r="R5" s="1497"/>
      <c r="S5" s="129"/>
      <c r="T5" s="1497"/>
      <c r="U5" s="129"/>
      <c r="V5" s="1497"/>
      <c r="W5" s="129"/>
      <c r="X5" s="1497"/>
      <c r="Y5" s="129"/>
      <c r="Z5" s="1497"/>
      <c r="AA5" s="129"/>
      <c r="AB5" s="1497"/>
      <c r="AC5" s="129"/>
      <c r="AD5" s="1497"/>
      <c r="AE5" s="129"/>
      <c r="AF5" s="1497"/>
      <c r="AG5" s="129"/>
      <c r="AH5" s="1497"/>
      <c r="AI5" s="129"/>
      <c r="AJ5" s="1497"/>
      <c r="AK5" s="129"/>
      <c r="AL5" s="1497"/>
      <c r="AM5" s="129"/>
      <c r="AN5" s="1497"/>
      <c r="AO5" s="129"/>
    </row>
    <row r="6" spans="1:41">
      <c r="A6" s="1489"/>
      <c r="B6" s="1505"/>
      <c r="C6" s="1525"/>
      <c r="D6" s="1546"/>
      <c r="E6" s="129" t="s">
        <v>229</v>
      </c>
      <c r="F6" s="1556"/>
      <c r="G6" s="1583"/>
      <c r="H6" s="1599"/>
      <c r="I6" s="1583"/>
      <c r="J6" s="1497"/>
      <c r="K6" s="132"/>
      <c r="L6" s="1497"/>
      <c r="M6" s="132"/>
      <c r="N6" s="1497"/>
      <c r="O6" s="132"/>
      <c r="P6" s="1497"/>
      <c r="Q6" s="129"/>
      <c r="R6" s="1497"/>
      <c r="S6" s="129"/>
      <c r="T6" s="1497"/>
      <c r="U6" s="129"/>
      <c r="V6" s="1497"/>
      <c r="W6" s="129"/>
      <c r="X6" s="1497"/>
      <c r="Y6" s="129"/>
      <c r="Z6" s="1497"/>
      <c r="AA6" s="129"/>
      <c r="AB6" s="1497"/>
      <c r="AC6" s="129"/>
      <c r="AD6" s="1497"/>
      <c r="AE6" s="129"/>
      <c r="AF6" s="1497"/>
      <c r="AG6" s="129"/>
      <c r="AH6" s="1497"/>
      <c r="AI6" s="129"/>
      <c r="AJ6" s="1497"/>
      <c r="AK6" s="129"/>
      <c r="AL6" s="1497"/>
      <c r="AM6" s="129"/>
      <c r="AN6" s="1497"/>
      <c r="AO6" s="129"/>
    </row>
    <row r="7" spans="1:41">
      <c r="A7" s="1489">
        <v>2</v>
      </c>
      <c r="B7" s="1503" t="s">
        <v>230</v>
      </c>
      <c r="C7" s="1525">
        <v>43595</v>
      </c>
      <c r="D7" s="1545" t="s">
        <v>231</v>
      </c>
      <c r="E7" s="129" t="s">
        <v>232</v>
      </c>
      <c r="F7" s="1557">
        <v>43595</v>
      </c>
      <c r="G7" s="1584" t="s">
        <v>233</v>
      </c>
      <c r="H7" s="132"/>
      <c r="I7" s="1489"/>
      <c r="J7" s="1625">
        <v>10898</v>
      </c>
      <c r="K7" s="1496" t="s">
        <v>234</v>
      </c>
      <c r="L7" s="132"/>
      <c r="M7" s="1489"/>
      <c r="N7" s="1625">
        <v>10898</v>
      </c>
      <c r="O7" s="1496" t="s">
        <v>235</v>
      </c>
      <c r="P7" s="1497"/>
      <c r="Q7" s="129"/>
      <c r="R7" s="1497"/>
      <c r="S7" s="129"/>
      <c r="T7" s="1625">
        <v>10898</v>
      </c>
      <c r="U7" s="1496" t="s">
        <v>236</v>
      </c>
      <c r="V7" s="1497"/>
      <c r="W7" s="129"/>
      <c r="X7" s="1497"/>
      <c r="Y7" s="129"/>
      <c r="Z7" s="1497"/>
      <c r="AA7" s="129"/>
      <c r="AB7" s="1497"/>
      <c r="AC7" s="129"/>
      <c r="AD7" s="1497"/>
      <c r="AE7" s="129"/>
      <c r="AF7" s="1497"/>
      <c r="AG7" s="129"/>
      <c r="AH7" s="1497"/>
      <c r="AI7" s="129"/>
      <c r="AJ7" s="1497"/>
      <c r="AK7" s="129"/>
      <c r="AL7" s="1497"/>
      <c r="AM7" s="129"/>
      <c r="AN7" s="1497"/>
      <c r="AO7" s="129"/>
    </row>
    <row r="8" spans="1:41">
      <c r="A8" s="1489"/>
      <c r="B8" s="1504"/>
      <c r="C8" s="1525"/>
      <c r="D8" s="1546"/>
      <c r="E8" s="133" t="s">
        <v>237</v>
      </c>
      <c r="F8" s="1557"/>
      <c r="G8" s="1585"/>
      <c r="H8" s="134"/>
      <c r="I8" s="1489"/>
      <c r="J8" s="1626"/>
      <c r="K8" s="1496"/>
      <c r="L8" s="134"/>
      <c r="M8" s="1489"/>
      <c r="N8" s="1626"/>
      <c r="O8" s="1496"/>
      <c r="P8" s="1497"/>
      <c r="Q8" s="129"/>
      <c r="R8" s="1497"/>
      <c r="S8" s="129"/>
      <c r="T8" s="1626"/>
      <c r="U8" s="1496"/>
      <c r="V8" s="1497"/>
      <c r="W8" s="129"/>
      <c r="X8" s="1497"/>
      <c r="Y8" s="129"/>
      <c r="Z8" s="1497"/>
      <c r="AA8" s="129"/>
      <c r="AB8" s="1497"/>
      <c r="AC8" s="129"/>
      <c r="AD8" s="1497"/>
      <c r="AE8" s="129"/>
      <c r="AF8" s="1497"/>
      <c r="AG8" s="129"/>
      <c r="AH8" s="1497"/>
      <c r="AI8" s="129"/>
      <c r="AJ8" s="1497"/>
      <c r="AK8" s="129"/>
      <c r="AL8" s="1497"/>
      <c r="AM8" s="129"/>
      <c r="AN8" s="1497"/>
      <c r="AO8" s="129"/>
    </row>
    <row r="9" spans="1:41">
      <c r="A9" s="1489"/>
      <c r="B9" s="1504"/>
      <c r="C9" s="1525"/>
      <c r="D9" s="1546"/>
      <c r="E9" s="181" t="s">
        <v>238</v>
      </c>
      <c r="F9" s="1557"/>
      <c r="G9" s="1585"/>
      <c r="H9" s="132"/>
      <c r="I9" s="1489"/>
      <c r="J9" s="1626"/>
      <c r="K9" s="1496"/>
      <c r="L9" s="132"/>
      <c r="M9" s="1489"/>
      <c r="N9" s="1626"/>
      <c r="O9" s="1496"/>
      <c r="P9" s="1497"/>
      <c r="Q9" s="129"/>
      <c r="R9" s="1497"/>
      <c r="S9" s="129"/>
      <c r="T9" s="1626"/>
      <c r="U9" s="1496"/>
      <c r="V9" s="1497"/>
      <c r="W9" s="129"/>
      <c r="X9" s="1497"/>
      <c r="Y9" s="129"/>
      <c r="Z9" s="1497"/>
      <c r="AA9" s="129"/>
      <c r="AB9" s="1497"/>
      <c r="AC9" s="129"/>
      <c r="AD9" s="1497"/>
      <c r="AE9" s="129"/>
      <c r="AF9" s="1497"/>
      <c r="AG9" s="129"/>
      <c r="AH9" s="1497"/>
      <c r="AI9" s="129"/>
      <c r="AJ9" s="1497"/>
      <c r="AK9" s="129"/>
      <c r="AL9" s="1497"/>
      <c r="AM9" s="129"/>
      <c r="AN9" s="1497"/>
      <c r="AO9" s="129"/>
    </row>
    <row r="10" spans="1:41">
      <c r="A10" s="1489"/>
      <c r="B10" s="1505"/>
      <c r="C10" s="1525"/>
      <c r="D10" s="1546"/>
      <c r="E10" s="129" t="s">
        <v>229</v>
      </c>
      <c r="F10" s="1557"/>
      <c r="G10" s="1585"/>
      <c r="H10" s="132"/>
      <c r="I10" s="1489"/>
      <c r="J10" s="1627"/>
      <c r="K10" s="1496"/>
      <c r="L10" s="132"/>
      <c r="M10" s="1489"/>
      <c r="N10" s="1627"/>
      <c r="O10" s="1496"/>
      <c r="P10" s="1497"/>
      <c r="Q10" s="129"/>
      <c r="R10" s="1497"/>
      <c r="S10" s="129"/>
      <c r="T10" s="1627"/>
      <c r="U10" s="1496"/>
      <c r="V10" s="1497"/>
      <c r="W10" s="129"/>
      <c r="X10" s="1497"/>
      <c r="Y10" s="129"/>
      <c r="Z10" s="1497"/>
      <c r="AA10" s="129"/>
      <c r="AB10" s="1497"/>
      <c r="AC10" s="129"/>
      <c r="AD10" s="1497"/>
      <c r="AE10" s="129"/>
      <c r="AF10" s="1497"/>
      <c r="AG10" s="129"/>
      <c r="AH10" s="1497"/>
      <c r="AI10" s="129"/>
      <c r="AJ10" s="1497"/>
      <c r="AK10" s="129"/>
      <c r="AL10" s="1497"/>
      <c r="AM10" s="129"/>
      <c r="AN10" s="1497"/>
      <c r="AO10" s="129"/>
    </row>
    <row r="11" spans="1:41">
      <c r="A11" s="1490">
        <v>3</v>
      </c>
      <c r="B11" s="1503" t="s">
        <v>54</v>
      </c>
      <c r="C11" s="1525">
        <v>2300056</v>
      </c>
      <c r="D11" s="1545" t="s">
        <v>239</v>
      </c>
      <c r="E11" s="129" t="s">
        <v>240</v>
      </c>
      <c r="F11" s="1558">
        <v>2297056</v>
      </c>
      <c r="G11" s="1584" t="s">
        <v>241</v>
      </c>
      <c r="H11" s="1497"/>
      <c r="I11" s="1489"/>
      <c r="J11" s="1497"/>
      <c r="K11" s="1489"/>
      <c r="L11" s="1497"/>
      <c r="M11" s="1489"/>
      <c r="N11" s="1497"/>
      <c r="O11" s="1489"/>
      <c r="P11" s="1497"/>
      <c r="Q11" s="129"/>
      <c r="R11" s="1497"/>
      <c r="S11" s="129"/>
      <c r="T11" s="1497"/>
      <c r="U11" s="129"/>
      <c r="V11" s="1497"/>
      <c r="W11" s="129"/>
      <c r="X11" s="1497"/>
      <c r="Y11" s="129"/>
      <c r="Z11" s="1497"/>
      <c r="AA11" s="129"/>
      <c r="AB11" s="1497"/>
      <c r="AC11" s="129"/>
      <c r="AD11" s="1497"/>
      <c r="AE11" s="129"/>
      <c r="AF11" s="1497"/>
      <c r="AG11" s="129"/>
      <c r="AH11" s="1497"/>
      <c r="AI11" s="129"/>
      <c r="AJ11" s="1497"/>
      <c r="AK11" s="129"/>
      <c r="AL11" s="1497"/>
      <c r="AM11" s="129"/>
      <c r="AN11" s="1497"/>
      <c r="AO11" s="129"/>
    </row>
    <row r="12" spans="1:41" ht="12" customHeight="1">
      <c r="A12" s="1491"/>
      <c r="B12" s="1504"/>
      <c r="C12" s="1525"/>
      <c r="D12" s="1546"/>
      <c r="E12" s="146" t="s">
        <v>242</v>
      </c>
      <c r="F12" s="1558"/>
      <c r="G12" s="1585"/>
      <c r="H12" s="1497"/>
      <c r="I12" s="1489"/>
      <c r="J12" s="1497"/>
      <c r="K12" s="1489"/>
      <c r="L12" s="1497"/>
      <c r="M12" s="1489"/>
      <c r="N12" s="1497"/>
      <c r="O12" s="1489"/>
      <c r="P12" s="1497"/>
      <c r="Q12" s="129"/>
      <c r="R12" s="1497"/>
      <c r="S12" s="129"/>
      <c r="T12" s="1497"/>
      <c r="U12" s="129"/>
      <c r="V12" s="1497"/>
      <c r="W12" s="129"/>
      <c r="X12" s="1497"/>
      <c r="Y12" s="129"/>
      <c r="Z12" s="1497"/>
      <c r="AA12" s="129"/>
      <c r="AB12" s="1497"/>
      <c r="AC12" s="129"/>
      <c r="AD12" s="1497"/>
      <c r="AE12" s="129"/>
      <c r="AF12" s="1497"/>
      <c r="AG12" s="129"/>
      <c r="AH12" s="1497"/>
      <c r="AI12" s="129"/>
      <c r="AJ12" s="1497"/>
      <c r="AK12" s="129"/>
      <c r="AL12" s="1497"/>
      <c r="AM12" s="129"/>
      <c r="AN12" s="1497"/>
      <c r="AO12" s="129"/>
    </row>
    <row r="13" spans="1:41">
      <c r="A13" s="1491"/>
      <c r="B13" s="1504"/>
      <c r="C13" s="1525"/>
      <c r="D13" s="1546"/>
      <c r="E13" s="181" t="s">
        <v>243</v>
      </c>
      <c r="F13" s="1558"/>
      <c r="G13" s="1585"/>
      <c r="H13" s="1497"/>
      <c r="I13" s="1489"/>
      <c r="J13" s="1497"/>
      <c r="K13" s="1489"/>
      <c r="L13" s="1497"/>
      <c r="M13" s="1489"/>
      <c r="N13" s="1497"/>
      <c r="O13" s="1489"/>
      <c r="P13" s="1497"/>
      <c r="Q13" s="129"/>
      <c r="R13" s="1497"/>
      <c r="S13" s="129"/>
      <c r="T13" s="1497"/>
      <c r="U13" s="129"/>
      <c r="V13" s="1497"/>
      <c r="W13" s="129"/>
      <c r="X13" s="1497"/>
      <c r="Y13" s="129"/>
      <c r="Z13" s="1497"/>
      <c r="AA13" s="129"/>
      <c r="AB13" s="1497"/>
      <c r="AC13" s="129"/>
      <c r="AD13" s="1497"/>
      <c r="AE13" s="129"/>
      <c r="AF13" s="1497"/>
      <c r="AG13" s="129"/>
      <c r="AH13" s="1497"/>
      <c r="AI13" s="129"/>
      <c r="AJ13" s="1497"/>
      <c r="AK13" s="129"/>
      <c r="AL13" s="1497"/>
      <c r="AM13" s="129"/>
      <c r="AN13" s="1497"/>
      <c r="AO13" s="129"/>
    </row>
    <row r="14" spans="1:41">
      <c r="A14" s="1492"/>
      <c r="B14" s="1505"/>
      <c r="C14" s="1525"/>
      <c r="D14" s="1546"/>
      <c r="E14" s="129" t="s">
        <v>229</v>
      </c>
      <c r="F14" s="1558"/>
      <c r="G14" s="1585"/>
      <c r="H14" s="1497"/>
      <c r="I14" s="1489"/>
      <c r="J14" s="1497"/>
      <c r="K14" s="1489"/>
      <c r="L14" s="1497"/>
      <c r="M14" s="1489"/>
      <c r="N14" s="1497"/>
      <c r="O14" s="1489"/>
      <c r="P14" s="1497"/>
      <c r="Q14" s="129"/>
      <c r="R14" s="1497"/>
      <c r="S14" s="129"/>
      <c r="T14" s="1497"/>
      <c r="U14" s="129"/>
      <c r="V14" s="1497"/>
      <c r="W14" s="129"/>
      <c r="X14" s="1497"/>
      <c r="Y14" s="129"/>
      <c r="Z14" s="1497"/>
      <c r="AA14" s="129"/>
      <c r="AB14" s="1497"/>
      <c r="AC14" s="129"/>
      <c r="AD14" s="1497"/>
      <c r="AE14" s="129"/>
      <c r="AF14" s="1497"/>
      <c r="AG14" s="129"/>
      <c r="AH14" s="1497"/>
      <c r="AI14" s="129"/>
      <c r="AJ14" s="1497"/>
      <c r="AK14" s="129"/>
      <c r="AL14" s="1497"/>
      <c r="AM14" s="129"/>
      <c r="AN14" s="1497"/>
      <c r="AO14" s="129"/>
    </row>
    <row r="15" spans="1:41">
      <c r="A15" s="1493">
        <v>4</v>
      </c>
      <c r="B15" s="1506" t="s">
        <v>244</v>
      </c>
      <c r="C15" s="1526">
        <v>57805</v>
      </c>
      <c r="D15" s="1545" t="s">
        <v>245</v>
      </c>
      <c r="E15" s="129" t="s">
        <v>246</v>
      </c>
      <c r="F15" s="1558">
        <v>57805</v>
      </c>
      <c r="G15" s="1584" t="s">
        <v>247</v>
      </c>
      <c r="H15" s="136"/>
      <c r="I15" s="1490"/>
      <c r="J15" s="1497"/>
      <c r="K15" s="1489"/>
      <c r="L15" s="1497"/>
      <c r="M15" s="1489"/>
      <c r="N15" s="1497"/>
      <c r="O15" s="1489"/>
      <c r="P15" s="1497"/>
      <c r="Q15" s="129"/>
      <c r="R15" s="1497"/>
      <c r="S15" s="129"/>
      <c r="T15" s="1497"/>
      <c r="U15" s="129"/>
      <c r="V15" s="1497"/>
      <c r="W15" s="129"/>
      <c r="X15" s="1497"/>
      <c r="Y15" s="129"/>
      <c r="Z15" s="1497"/>
      <c r="AA15" s="129"/>
      <c r="AB15" s="1497"/>
      <c r="AC15" s="129"/>
      <c r="AD15" s="1497"/>
      <c r="AE15" s="129"/>
      <c r="AF15" s="1497"/>
      <c r="AG15" s="129"/>
      <c r="AH15" s="1497"/>
      <c r="AI15" s="129"/>
      <c r="AJ15" s="1497"/>
      <c r="AK15" s="129"/>
      <c r="AL15" s="1497"/>
      <c r="AM15" s="129"/>
      <c r="AN15" s="1497"/>
      <c r="AO15" s="129"/>
    </row>
    <row r="16" spans="1:41">
      <c r="A16" s="1494"/>
      <c r="B16" s="1507"/>
      <c r="C16" s="1526"/>
      <c r="D16" s="1546"/>
      <c r="E16" s="137" t="s">
        <v>248</v>
      </c>
      <c r="F16" s="1558"/>
      <c r="G16" s="1585"/>
      <c r="H16" s="136"/>
      <c r="I16" s="1491"/>
      <c r="J16" s="1497"/>
      <c r="K16" s="1489"/>
      <c r="L16" s="1497"/>
      <c r="M16" s="1489"/>
      <c r="N16" s="1497"/>
      <c r="O16" s="1489"/>
      <c r="P16" s="1497"/>
      <c r="Q16" s="129"/>
      <c r="R16" s="1497"/>
      <c r="S16" s="129"/>
      <c r="T16" s="1497"/>
      <c r="U16" s="129"/>
      <c r="V16" s="1497"/>
      <c r="W16" s="129"/>
      <c r="X16" s="1497"/>
      <c r="Y16" s="129"/>
      <c r="Z16" s="1497"/>
      <c r="AA16" s="129"/>
      <c r="AB16" s="1497"/>
      <c r="AC16" s="129"/>
      <c r="AD16" s="1497"/>
      <c r="AE16" s="129"/>
      <c r="AF16" s="1497"/>
      <c r="AG16" s="129"/>
      <c r="AH16" s="1497"/>
      <c r="AI16" s="129"/>
      <c r="AJ16" s="1497"/>
      <c r="AK16" s="129"/>
      <c r="AL16" s="1497"/>
      <c r="AM16" s="129"/>
      <c r="AN16" s="1497"/>
      <c r="AO16" s="129"/>
    </row>
    <row r="17" spans="1:41">
      <c r="A17" s="1494"/>
      <c r="B17" s="1507"/>
      <c r="C17" s="1526"/>
      <c r="D17" s="1546"/>
      <c r="E17" s="181" t="s">
        <v>249</v>
      </c>
      <c r="F17" s="1558"/>
      <c r="G17" s="1585"/>
      <c r="H17" s="136"/>
      <c r="I17" s="1491"/>
      <c r="J17" s="1497"/>
      <c r="K17" s="1489"/>
      <c r="L17" s="1497"/>
      <c r="M17" s="1489"/>
      <c r="N17" s="1497"/>
      <c r="O17" s="1489"/>
      <c r="P17" s="1497"/>
      <c r="Q17" s="129"/>
      <c r="R17" s="1497"/>
      <c r="S17" s="129"/>
      <c r="T17" s="1497"/>
      <c r="U17" s="129"/>
      <c r="V17" s="1497"/>
      <c r="W17" s="129"/>
      <c r="X17" s="1497"/>
      <c r="Y17" s="129"/>
      <c r="Z17" s="1497"/>
      <c r="AA17" s="129"/>
      <c r="AB17" s="1497"/>
      <c r="AC17" s="129"/>
      <c r="AD17" s="1497"/>
      <c r="AE17" s="129"/>
      <c r="AF17" s="1497"/>
      <c r="AG17" s="129"/>
      <c r="AH17" s="1497"/>
      <c r="AI17" s="129"/>
      <c r="AJ17" s="1497"/>
      <c r="AK17" s="129"/>
      <c r="AL17" s="1497"/>
      <c r="AM17" s="129"/>
      <c r="AN17" s="1497"/>
      <c r="AO17" s="129"/>
    </row>
    <row r="18" spans="1:41">
      <c r="A18" s="1495"/>
      <c r="B18" s="1508"/>
      <c r="C18" s="1526"/>
      <c r="D18" s="1546"/>
      <c r="E18" s="129" t="s">
        <v>250</v>
      </c>
      <c r="F18" s="1558"/>
      <c r="G18" s="1585"/>
      <c r="H18" s="136"/>
      <c r="I18" s="1492"/>
      <c r="J18" s="1497"/>
      <c r="K18" s="1489"/>
      <c r="L18" s="1497"/>
      <c r="M18" s="1489"/>
      <c r="N18" s="1497"/>
      <c r="O18" s="1489"/>
      <c r="P18" s="1497"/>
      <c r="Q18" s="129"/>
      <c r="R18" s="1497"/>
      <c r="S18" s="129"/>
      <c r="T18" s="1497"/>
      <c r="U18" s="129"/>
      <c r="V18" s="1497"/>
      <c r="W18" s="129"/>
      <c r="X18" s="1497"/>
      <c r="Y18" s="129"/>
      <c r="Z18" s="1497"/>
      <c r="AA18" s="129"/>
      <c r="AB18" s="1497"/>
      <c r="AC18" s="129"/>
      <c r="AD18" s="1497"/>
      <c r="AE18" s="129"/>
      <c r="AF18" s="1497"/>
      <c r="AG18" s="129"/>
      <c r="AH18" s="1497"/>
      <c r="AI18" s="129"/>
      <c r="AJ18" s="1497"/>
      <c r="AK18" s="129"/>
      <c r="AL18" s="1497"/>
      <c r="AM18" s="129"/>
      <c r="AN18" s="1497"/>
      <c r="AO18" s="129"/>
    </row>
    <row r="19" spans="1:41">
      <c r="A19" s="1493">
        <v>5</v>
      </c>
      <c r="B19" s="1506" t="s">
        <v>61</v>
      </c>
      <c r="C19" s="1526">
        <f>F19</f>
        <v>107940</v>
      </c>
      <c r="D19" s="1545" t="s">
        <v>251</v>
      </c>
      <c r="E19" s="129" t="s">
        <v>252</v>
      </c>
      <c r="F19" s="1559">
        <v>107940</v>
      </c>
      <c r="G19" s="1584" t="s">
        <v>253</v>
      </c>
      <c r="H19" s="136"/>
      <c r="I19" s="1490"/>
      <c r="J19" s="1497"/>
      <c r="K19" s="1489"/>
      <c r="L19" s="1497"/>
      <c r="M19" s="1489"/>
      <c r="N19" s="1497"/>
      <c r="O19" s="1489"/>
      <c r="P19" s="1497"/>
      <c r="Q19" s="129"/>
      <c r="R19" s="1497"/>
      <c r="S19" s="129"/>
      <c r="T19" s="1497"/>
      <c r="U19" s="129"/>
      <c r="V19" s="1497"/>
      <c r="W19" s="129"/>
      <c r="X19" s="1497"/>
      <c r="Y19" s="129"/>
      <c r="Z19" s="1497"/>
      <c r="AA19" s="129"/>
      <c r="AB19" s="1497"/>
      <c r="AC19" s="129"/>
      <c r="AD19" s="1497"/>
      <c r="AE19" s="129"/>
      <c r="AF19" s="1497"/>
      <c r="AG19" s="129"/>
      <c r="AH19" s="1497"/>
      <c r="AI19" s="129"/>
      <c r="AJ19" s="1497"/>
      <c r="AK19" s="129"/>
      <c r="AL19" s="1497"/>
      <c r="AM19" s="129"/>
      <c r="AN19" s="1497"/>
      <c r="AO19" s="129"/>
    </row>
    <row r="20" spans="1:41">
      <c r="A20" s="1494"/>
      <c r="B20" s="1507"/>
      <c r="C20" s="1526"/>
      <c r="D20" s="1546"/>
      <c r="E20" s="129" t="s">
        <v>254</v>
      </c>
      <c r="F20" s="1560"/>
      <c r="G20" s="1585"/>
      <c r="H20" s="136"/>
      <c r="I20" s="1491"/>
      <c r="J20" s="1497"/>
      <c r="K20" s="1489"/>
      <c r="L20" s="1497"/>
      <c r="M20" s="1489"/>
      <c r="N20" s="1497"/>
      <c r="O20" s="1489"/>
      <c r="P20" s="1497"/>
      <c r="Q20" s="129"/>
      <c r="R20" s="1497"/>
      <c r="S20" s="129"/>
      <c r="T20" s="1497"/>
      <c r="U20" s="129"/>
      <c r="V20" s="1497"/>
      <c r="W20" s="129"/>
      <c r="X20" s="1497"/>
      <c r="Y20" s="129"/>
      <c r="Z20" s="1497"/>
      <c r="AA20" s="129"/>
      <c r="AB20" s="1497"/>
      <c r="AC20" s="129"/>
      <c r="AD20" s="1497"/>
      <c r="AE20" s="129"/>
      <c r="AF20" s="1497"/>
      <c r="AG20" s="129"/>
      <c r="AH20" s="1497"/>
      <c r="AI20" s="129"/>
      <c r="AJ20" s="1497"/>
      <c r="AK20" s="129"/>
      <c r="AL20" s="1497"/>
      <c r="AM20" s="129"/>
      <c r="AN20" s="1497"/>
      <c r="AO20" s="129"/>
    </row>
    <row r="21" spans="1:41">
      <c r="A21" s="1494"/>
      <c r="B21" s="1507"/>
      <c r="C21" s="1526"/>
      <c r="D21" s="1546"/>
      <c r="E21" s="181" t="s">
        <v>255</v>
      </c>
      <c r="F21" s="1560"/>
      <c r="G21" s="1585"/>
      <c r="H21" s="136"/>
      <c r="I21" s="1491"/>
      <c r="J21" s="1497"/>
      <c r="K21" s="1489"/>
      <c r="L21" s="1497"/>
      <c r="M21" s="1489"/>
      <c r="N21" s="1497"/>
      <c r="O21" s="1489"/>
      <c r="P21" s="1497"/>
      <c r="Q21" s="129"/>
      <c r="R21" s="1497"/>
      <c r="S21" s="129"/>
      <c r="T21" s="1497"/>
      <c r="U21" s="129"/>
      <c r="V21" s="1497"/>
      <c r="W21" s="129"/>
      <c r="X21" s="1497"/>
      <c r="Y21" s="129"/>
      <c r="Z21" s="1497"/>
      <c r="AA21" s="129"/>
      <c r="AB21" s="1497"/>
      <c r="AC21" s="129"/>
      <c r="AD21" s="1497"/>
      <c r="AE21" s="129"/>
      <c r="AF21" s="1497"/>
      <c r="AG21" s="129"/>
      <c r="AH21" s="1497"/>
      <c r="AI21" s="129"/>
      <c r="AJ21" s="1497"/>
      <c r="AK21" s="129"/>
      <c r="AL21" s="1497"/>
      <c r="AM21" s="129"/>
      <c r="AN21" s="1497"/>
      <c r="AO21" s="129"/>
    </row>
    <row r="22" spans="1:41">
      <c r="A22" s="1495"/>
      <c r="B22" s="1508"/>
      <c r="C22" s="1526"/>
      <c r="D22" s="1546"/>
      <c r="E22" s="129" t="s">
        <v>256</v>
      </c>
      <c r="F22" s="1561"/>
      <c r="G22" s="1585"/>
      <c r="I22" s="1492"/>
      <c r="J22" s="1497"/>
      <c r="K22" s="1489"/>
      <c r="L22" s="1497"/>
      <c r="M22" s="1489"/>
      <c r="N22" s="1497"/>
      <c r="O22" s="1489"/>
      <c r="P22" s="1497"/>
      <c r="Q22" s="129"/>
      <c r="R22" s="1497"/>
      <c r="S22" s="129"/>
      <c r="T22" s="1497"/>
      <c r="U22" s="129"/>
      <c r="V22" s="1497"/>
      <c r="W22" s="129"/>
      <c r="X22" s="1497"/>
      <c r="Y22" s="129"/>
      <c r="Z22" s="1497"/>
      <c r="AA22" s="129"/>
      <c r="AB22" s="1497"/>
      <c r="AC22" s="129"/>
      <c r="AD22" s="1497"/>
      <c r="AE22" s="129"/>
      <c r="AF22" s="1497"/>
      <c r="AG22" s="129"/>
      <c r="AH22" s="1497"/>
      <c r="AI22" s="129"/>
      <c r="AJ22" s="1497"/>
      <c r="AK22" s="129"/>
      <c r="AL22" s="1497"/>
      <c r="AM22" s="129"/>
      <c r="AN22" s="1497"/>
      <c r="AO22" s="129"/>
    </row>
    <row r="23" spans="1:41">
      <c r="A23" s="1493">
        <v>6</v>
      </c>
      <c r="B23" s="1506" t="s">
        <v>61</v>
      </c>
      <c r="C23" s="1526">
        <f>F23</f>
        <v>142892</v>
      </c>
      <c r="D23" s="1545" t="s">
        <v>251</v>
      </c>
      <c r="E23" s="129" t="s">
        <v>252</v>
      </c>
      <c r="F23" s="1559">
        <v>142892</v>
      </c>
      <c r="G23" s="1584" t="s">
        <v>253</v>
      </c>
      <c r="H23" s="136"/>
      <c r="I23" s="1490"/>
      <c r="J23" s="1497"/>
      <c r="K23" s="1489"/>
      <c r="L23" s="1497"/>
      <c r="M23" s="1489"/>
      <c r="N23" s="1497"/>
      <c r="O23" s="1489"/>
      <c r="P23" s="1497"/>
      <c r="Q23" s="129"/>
      <c r="R23" s="1497"/>
      <c r="S23" s="129"/>
      <c r="T23" s="1497"/>
      <c r="U23" s="129"/>
      <c r="V23" s="1497"/>
      <c r="W23" s="129"/>
      <c r="X23" s="1497"/>
      <c r="Y23" s="129"/>
      <c r="Z23" s="1497"/>
      <c r="AA23" s="129"/>
      <c r="AB23" s="1497"/>
      <c r="AC23" s="129"/>
      <c r="AD23" s="1497"/>
      <c r="AE23" s="129"/>
      <c r="AF23" s="1497"/>
      <c r="AG23" s="129"/>
      <c r="AH23" s="1497"/>
      <c r="AI23" s="129"/>
      <c r="AJ23" s="1497"/>
      <c r="AK23" s="129"/>
      <c r="AL23" s="1497"/>
      <c r="AM23" s="129"/>
      <c r="AN23" s="1497"/>
      <c r="AO23" s="129"/>
    </row>
    <row r="24" spans="1:41">
      <c r="A24" s="1494"/>
      <c r="B24" s="1507"/>
      <c r="C24" s="1526"/>
      <c r="D24" s="1546"/>
      <c r="E24" s="129" t="s">
        <v>254</v>
      </c>
      <c r="F24" s="1560"/>
      <c r="G24" s="1585"/>
      <c r="H24" s="136"/>
      <c r="I24" s="1491"/>
      <c r="J24" s="1497"/>
      <c r="K24" s="1489"/>
      <c r="L24" s="1497"/>
      <c r="M24" s="1489"/>
      <c r="N24" s="1497"/>
      <c r="O24" s="1489"/>
      <c r="P24" s="1497"/>
      <c r="Q24" s="129"/>
      <c r="R24" s="1497"/>
      <c r="S24" s="129"/>
      <c r="T24" s="1497"/>
      <c r="U24" s="129"/>
      <c r="V24" s="1497"/>
      <c r="W24" s="129"/>
      <c r="X24" s="1497"/>
      <c r="Y24" s="129"/>
      <c r="Z24" s="1497"/>
      <c r="AA24" s="129"/>
      <c r="AB24" s="1497"/>
      <c r="AC24" s="129"/>
      <c r="AD24" s="1497"/>
      <c r="AE24" s="129"/>
      <c r="AF24" s="1497"/>
      <c r="AG24" s="129"/>
      <c r="AH24" s="1497"/>
      <c r="AI24" s="129"/>
      <c r="AJ24" s="1497"/>
      <c r="AK24" s="129"/>
      <c r="AL24" s="1497"/>
      <c r="AM24" s="129"/>
      <c r="AN24" s="1497"/>
      <c r="AO24" s="129"/>
    </row>
    <row r="25" spans="1:41">
      <c r="A25" s="1494"/>
      <c r="B25" s="1507"/>
      <c r="C25" s="1526"/>
      <c r="D25" s="1546"/>
      <c r="E25" s="181" t="s">
        <v>255</v>
      </c>
      <c r="F25" s="1560"/>
      <c r="G25" s="1585"/>
      <c r="H25" s="136"/>
      <c r="I25" s="1491"/>
      <c r="J25" s="1497"/>
      <c r="K25" s="1489"/>
      <c r="L25" s="1497"/>
      <c r="M25" s="1489"/>
      <c r="N25" s="1497"/>
      <c r="O25" s="1489"/>
      <c r="P25" s="1497"/>
      <c r="Q25" s="129"/>
      <c r="R25" s="1497"/>
      <c r="S25" s="129"/>
      <c r="T25" s="1497"/>
      <c r="U25" s="129"/>
      <c r="V25" s="1497"/>
      <c r="W25" s="129"/>
      <c r="X25" s="1497"/>
      <c r="Y25" s="129"/>
      <c r="Z25" s="1497"/>
      <c r="AA25" s="129"/>
      <c r="AB25" s="1497"/>
      <c r="AC25" s="129"/>
      <c r="AD25" s="1497"/>
      <c r="AE25" s="129"/>
      <c r="AF25" s="1497"/>
      <c r="AG25" s="129"/>
      <c r="AH25" s="1497"/>
      <c r="AI25" s="129"/>
      <c r="AJ25" s="1497"/>
      <c r="AK25" s="129"/>
      <c r="AL25" s="1497"/>
      <c r="AM25" s="129"/>
      <c r="AN25" s="1497"/>
      <c r="AO25" s="129"/>
    </row>
    <row r="26" spans="1:41">
      <c r="A26" s="1495"/>
      <c r="B26" s="1508"/>
      <c r="C26" s="1526"/>
      <c r="D26" s="1546"/>
      <c r="E26" s="129" t="s">
        <v>256</v>
      </c>
      <c r="F26" s="1561"/>
      <c r="G26" s="1585"/>
      <c r="I26" s="1492"/>
      <c r="J26" s="1497"/>
      <c r="K26" s="1489"/>
      <c r="L26" s="1497"/>
      <c r="M26" s="1489"/>
      <c r="N26" s="1497"/>
      <c r="O26" s="1489"/>
      <c r="P26" s="1497"/>
      <c r="Q26" s="129"/>
      <c r="R26" s="1497"/>
      <c r="S26" s="129"/>
      <c r="T26" s="1497"/>
      <c r="U26" s="129"/>
      <c r="V26" s="1497"/>
      <c r="W26" s="129"/>
      <c r="X26" s="1497"/>
      <c r="Y26" s="129"/>
      <c r="Z26" s="1497"/>
      <c r="AA26" s="129"/>
      <c r="AB26" s="1497"/>
      <c r="AC26" s="129"/>
      <c r="AD26" s="1497"/>
      <c r="AE26" s="129"/>
      <c r="AF26" s="1497"/>
      <c r="AG26" s="129"/>
      <c r="AH26" s="1497"/>
      <c r="AI26" s="129"/>
      <c r="AJ26" s="1497"/>
      <c r="AK26" s="129"/>
      <c r="AL26" s="1497"/>
      <c r="AM26" s="129"/>
      <c r="AN26" s="1497"/>
      <c r="AO26" s="129"/>
    </row>
    <row r="27" spans="1:41">
      <c r="A27" s="1493">
        <v>7</v>
      </c>
      <c r="B27" s="1509" t="s">
        <v>257</v>
      </c>
      <c r="C27" s="1526">
        <v>36211</v>
      </c>
      <c r="D27" s="1545" t="s">
        <v>251</v>
      </c>
      <c r="E27" s="129" t="s">
        <v>258</v>
      </c>
      <c r="F27" s="1559">
        <f>C27/2</f>
        <v>18105.5</v>
      </c>
      <c r="G27" s="1586" t="s">
        <v>259</v>
      </c>
      <c r="H27" s="139"/>
      <c r="I27" s="1496"/>
      <c r="J27" s="1497"/>
      <c r="K27" s="1496"/>
      <c r="L27" s="1632">
        <f>F27</f>
        <v>18105.5</v>
      </c>
      <c r="M27" s="1496" t="s">
        <v>260</v>
      </c>
      <c r="N27" s="1497">
        <v>18105</v>
      </c>
      <c r="O27" s="1586" t="s">
        <v>261</v>
      </c>
      <c r="P27" s="1497"/>
      <c r="Q27" s="129"/>
      <c r="R27" s="1497"/>
      <c r="S27" s="129"/>
      <c r="T27" s="1497"/>
      <c r="U27" s="129"/>
      <c r="V27" s="1497"/>
      <c r="W27" s="1649" t="s">
        <v>262</v>
      </c>
      <c r="X27" s="1497"/>
      <c r="Y27" s="129"/>
      <c r="Z27" s="1497"/>
      <c r="AA27" s="129"/>
      <c r="AB27" s="1497"/>
      <c r="AC27" s="129"/>
      <c r="AD27" s="1497"/>
      <c r="AE27" s="129"/>
      <c r="AF27" s="1497"/>
      <c r="AG27" s="129"/>
      <c r="AH27" s="1497"/>
      <c r="AI27" s="129"/>
      <c r="AJ27" s="1497"/>
      <c r="AK27" s="129"/>
      <c r="AL27" s="1497"/>
      <c r="AM27" s="129"/>
      <c r="AN27" s="1497"/>
      <c r="AO27" s="129"/>
    </row>
    <row r="28" spans="1:41">
      <c r="A28" s="1494"/>
      <c r="B28" s="1510"/>
      <c r="C28" s="1526"/>
      <c r="D28" s="1546"/>
      <c r="E28" s="129" t="s">
        <v>263</v>
      </c>
      <c r="F28" s="1560"/>
      <c r="G28" s="1587"/>
      <c r="H28" s="136"/>
      <c r="I28" s="1489"/>
      <c r="J28" s="1497"/>
      <c r="K28" s="1489"/>
      <c r="L28" s="1633"/>
      <c r="M28" s="1496"/>
      <c r="N28" s="1497"/>
      <c r="O28" s="1587"/>
      <c r="P28" s="1497"/>
      <c r="Q28" s="129"/>
      <c r="R28" s="1497"/>
      <c r="S28" s="129"/>
      <c r="T28" s="1497"/>
      <c r="U28" s="129"/>
      <c r="V28" s="1497"/>
      <c r="W28" s="1590"/>
      <c r="X28" s="1497"/>
      <c r="Y28" s="129"/>
      <c r="Z28" s="1497"/>
      <c r="AA28" s="129"/>
      <c r="AB28" s="1497"/>
      <c r="AC28" s="129"/>
      <c r="AD28" s="1497"/>
      <c r="AE28" s="129"/>
      <c r="AF28" s="1497"/>
      <c r="AG28" s="129"/>
      <c r="AH28" s="1497"/>
      <c r="AI28" s="129"/>
      <c r="AJ28" s="1497"/>
      <c r="AK28" s="129"/>
      <c r="AL28" s="1497"/>
      <c r="AM28" s="129"/>
      <c r="AN28" s="1497"/>
      <c r="AO28" s="129"/>
    </row>
    <row r="29" spans="1:41">
      <c r="A29" s="1494"/>
      <c r="B29" s="1510"/>
      <c r="C29" s="1526"/>
      <c r="D29" s="1546"/>
      <c r="E29" s="181" t="s">
        <v>264</v>
      </c>
      <c r="F29" s="1560"/>
      <c r="G29" s="1587"/>
      <c r="H29" s="136"/>
      <c r="I29" s="1489"/>
      <c r="J29" s="1497"/>
      <c r="K29" s="1489"/>
      <c r="L29" s="1633"/>
      <c r="M29" s="1496"/>
      <c r="N29" s="1497"/>
      <c r="O29" s="1587"/>
      <c r="P29" s="1497"/>
      <c r="Q29" s="129"/>
      <c r="R29" s="1497"/>
      <c r="S29" s="129"/>
      <c r="T29" s="1497"/>
      <c r="U29" s="129"/>
      <c r="V29" s="1497"/>
      <c r="W29" s="1590"/>
      <c r="X29" s="1497"/>
      <c r="Y29" s="129"/>
      <c r="Z29" s="1497"/>
      <c r="AA29" s="129"/>
      <c r="AB29" s="1497"/>
      <c r="AC29" s="129"/>
      <c r="AD29" s="1497"/>
      <c r="AE29" s="129"/>
      <c r="AF29" s="1497"/>
      <c r="AG29" s="129"/>
      <c r="AH29" s="1497"/>
      <c r="AI29" s="129"/>
      <c r="AJ29" s="1497"/>
      <c r="AK29" s="129"/>
      <c r="AL29" s="1497"/>
      <c r="AM29" s="129"/>
      <c r="AN29" s="1497"/>
      <c r="AO29" s="129"/>
    </row>
    <row r="30" spans="1:41">
      <c r="A30" s="1495"/>
      <c r="B30" s="1511"/>
      <c r="C30" s="1526"/>
      <c r="D30" s="1546"/>
      <c r="E30" s="129" t="s">
        <v>265</v>
      </c>
      <c r="F30" s="1561"/>
      <c r="G30" s="1588"/>
      <c r="H30" s="136"/>
      <c r="I30" s="1489"/>
      <c r="J30" s="1497"/>
      <c r="K30" s="1489"/>
      <c r="L30" s="1634"/>
      <c r="M30" s="1496"/>
      <c r="N30" s="1497"/>
      <c r="O30" s="1588"/>
      <c r="P30" s="1497"/>
      <c r="Q30" s="129"/>
      <c r="R30" s="1497"/>
      <c r="S30" s="129"/>
      <c r="T30" s="1497"/>
      <c r="U30" s="129"/>
      <c r="V30" s="1497"/>
      <c r="W30" s="1591"/>
      <c r="X30" s="1497"/>
      <c r="Y30" s="129"/>
      <c r="Z30" s="1497"/>
      <c r="AA30" s="129"/>
      <c r="AB30" s="1497"/>
      <c r="AC30" s="129"/>
      <c r="AD30" s="1497"/>
      <c r="AE30" s="129"/>
      <c r="AF30" s="1497"/>
      <c r="AG30" s="129"/>
      <c r="AH30" s="1497"/>
      <c r="AI30" s="129"/>
      <c r="AJ30" s="1497"/>
      <c r="AK30" s="129"/>
      <c r="AL30" s="1497"/>
      <c r="AM30" s="129"/>
      <c r="AN30" s="1497"/>
      <c r="AO30" s="129"/>
    </row>
    <row r="31" spans="1:41">
      <c r="A31" s="1493">
        <v>8</v>
      </c>
      <c r="B31" s="1509" t="s">
        <v>266</v>
      </c>
      <c r="C31" s="1526">
        <v>39424</v>
      </c>
      <c r="D31" s="1545" t="s">
        <v>251</v>
      </c>
      <c r="E31" s="129" t="s">
        <v>267</v>
      </c>
      <c r="F31" s="1559">
        <f>C31/2</f>
        <v>19712</v>
      </c>
      <c r="G31" s="1586" t="s">
        <v>268</v>
      </c>
      <c r="H31" s="139"/>
      <c r="I31" s="1489"/>
      <c r="J31" s="1497"/>
      <c r="K31" s="1496"/>
      <c r="L31" s="1632">
        <f>F31</f>
        <v>19712</v>
      </c>
      <c r="M31" s="1496" t="s">
        <v>260</v>
      </c>
      <c r="N31" s="1497">
        <v>19712</v>
      </c>
      <c r="O31" s="1496" t="s">
        <v>269</v>
      </c>
      <c r="P31" s="1497"/>
      <c r="Q31" s="129"/>
      <c r="R31" s="1497"/>
      <c r="S31" s="129"/>
      <c r="T31" s="1497"/>
      <c r="U31" s="129"/>
      <c r="V31" s="1497"/>
      <c r="W31" s="1649" t="s">
        <v>262</v>
      </c>
      <c r="X31" s="1497"/>
      <c r="Y31" s="129"/>
      <c r="Z31" s="1497"/>
      <c r="AA31" s="129"/>
      <c r="AB31" s="1497"/>
      <c r="AC31" s="129"/>
      <c r="AD31" s="1497"/>
      <c r="AE31" s="129"/>
      <c r="AF31" s="1497"/>
      <c r="AG31" s="129"/>
      <c r="AH31" s="1497"/>
      <c r="AI31" s="129"/>
      <c r="AJ31" s="1497"/>
      <c r="AK31" s="129"/>
      <c r="AL31" s="1497"/>
      <c r="AM31" s="129"/>
      <c r="AN31" s="1497"/>
      <c r="AO31" s="129"/>
    </row>
    <row r="32" spans="1:41">
      <c r="A32" s="1494"/>
      <c r="B32" s="1510"/>
      <c r="C32" s="1526"/>
      <c r="D32" s="1546"/>
      <c r="E32" s="129" t="s">
        <v>263</v>
      </c>
      <c r="F32" s="1560"/>
      <c r="G32" s="1587"/>
      <c r="H32" s="136"/>
      <c r="I32" s="1489"/>
      <c r="J32" s="1497"/>
      <c r="K32" s="1489"/>
      <c r="L32" s="1633"/>
      <c r="M32" s="1496"/>
      <c r="N32" s="1497"/>
      <c r="O32" s="1489"/>
      <c r="P32" s="1497"/>
      <c r="Q32" s="129"/>
      <c r="R32" s="1497"/>
      <c r="S32" s="129"/>
      <c r="T32" s="1497"/>
      <c r="U32" s="129"/>
      <c r="V32" s="1497"/>
      <c r="W32" s="1590"/>
      <c r="X32" s="1497"/>
      <c r="Y32" s="129"/>
      <c r="Z32" s="1497"/>
      <c r="AA32" s="129"/>
      <c r="AB32" s="1497"/>
      <c r="AC32" s="129"/>
      <c r="AD32" s="1497"/>
      <c r="AE32" s="129"/>
      <c r="AF32" s="1497"/>
      <c r="AG32" s="129"/>
      <c r="AH32" s="1497"/>
      <c r="AI32" s="129"/>
      <c r="AJ32" s="1497"/>
      <c r="AK32" s="129"/>
      <c r="AL32" s="1497"/>
      <c r="AM32" s="129"/>
      <c r="AN32" s="1497"/>
      <c r="AO32" s="129"/>
    </row>
    <row r="33" spans="1:41">
      <c r="A33" s="1494"/>
      <c r="B33" s="1510"/>
      <c r="C33" s="1526"/>
      <c r="D33" s="1546"/>
      <c r="E33" s="181" t="s">
        <v>264</v>
      </c>
      <c r="F33" s="1560"/>
      <c r="G33" s="1587"/>
      <c r="H33" s="136"/>
      <c r="I33" s="1489"/>
      <c r="J33" s="1497"/>
      <c r="K33" s="1489"/>
      <c r="L33" s="1633"/>
      <c r="M33" s="1496"/>
      <c r="N33" s="1497"/>
      <c r="O33" s="1489"/>
      <c r="P33" s="1497"/>
      <c r="Q33" s="129"/>
      <c r="R33" s="1497"/>
      <c r="S33" s="129"/>
      <c r="T33" s="1497"/>
      <c r="U33" s="129"/>
      <c r="V33" s="1497"/>
      <c r="W33" s="1590"/>
      <c r="X33" s="1497"/>
      <c r="Y33" s="129"/>
      <c r="Z33" s="1497"/>
      <c r="AA33" s="129"/>
      <c r="AB33" s="1497"/>
      <c r="AC33" s="129"/>
      <c r="AD33" s="1497"/>
      <c r="AE33" s="129"/>
      <c r="AF33" s="1497"/>
      <c r="AG33" s="129"/>
      <c r="AH33" s="1497"/>
      <c r="AI33" s="129"/>
      <c r="AJ33" s="1497"/>
      <c r="AK33" s="129"/>
      <c r="AL33" s="1497"/>
      <c r="AM33" s="129"/>
      <c r="AN33" s="1497"/>
      <c r="AO33" s="129"/>
    </row>
    <row r="34" spans="1:41">
      <c r="A34" s="1495"/>
      <c r="B34" s="1511"/>
      <c r="C34" s="1526"/>
      <c r="D34" s="1546"/>
      <c r="E34" s="129" t="s">
        <v>265</v>
      </c>
      <c r="F34" s="1561"/>
      <c r="G34" s="1588"/>
      <c r="H34" s="136"/>
      <c r="I34" s="1489"/>
      <c r="J34" s="1497"/>
      <c r="K34" s="1489"/>
      <c r="L34" s="1634"/>
      <c r="M34" s="1496"/>
      <c r="N34" s="1497"/>
      <c r="O34" s="1489"/>
      <c r="P34" s="1497"/>
      <c r="Q34" s="129"/>
      <c r="R34" s="1497"/>
      <c r="S34" s="129"/>
      <c r="T34" s="1497"/>
      <c r="U34" s="129"/>
      <c r="V34" s="1497"/>
      <c r="W34" s="1591"/>
      <c r="X34" s="1497"/>
      <c r="Y34" s="129"/>
      <c r="Z34" s="1497"/>
      <c r="AA34" s="129"/>
      <c r="AB34" s="1497"/>
      <c r="AC34" s="129"/>
      <c r="AD34" s="1497"/>
      <c r="AE34" s="129"/>
      <c r="AF34" s="1497"/>
      <c r="AG34" s="129"/>
      <c r="AH34" s="1497"/>
      <c r="AI34" s="129"/>
      <c r="AJ34" s="1497"/>
      <c r="AK34" s="129"/>
      <c r="AL34" s="1497"/>
      <c r="AM34" s="129"/>
      <c r="AN34" s="1497"/>
      <c r="AO34" s="129"/>
    </row>
    <row r="35" spans="1:41">
      <c r="A35" s="1493">
        <v>9</v>
      </c>
      <c r="B35" s="1509" t="s">
        <v>270</v>
      </c>
      <c r="C35" s="1526">
        <v>36899</v>
      </c>
      <c r="D35" s="1545" t="s">
        <v>251</v>
      </c>
      <c r="E35" s="129" t="s">
        <v>271</v>
      </c>
      <c r="F35" s="1559">
        <f>C35/2</f>
        <v>18449.5</v>
      </c>
      <c r="G35" s="1586" t="s">
        <v>272</v>
      </c>
      <c r="H35" s="139"/>
      <c r="I35" s="1489"/>
      <c r="J35" s="1497"/>
      <c r="K35" s="1496"/>
      <c r="L35" s="1632">
        <f>F35</f>
        <v>18449.5</v>
      </c>
      <c r="M35" s="1496" t="s">
        <v>260</v>
      </c>
      <c r="N35" s="1497"/>
      <c r="O35" s="1489"/>
      <c r="P35" s="1497"/>
      <c r="Q35" s="129"/>
      <c r="R35" s="1497"/>
      <c r="S35" s="129"/>
      <c r="T35" s="1497"/>
      <c r="U35" s="129"/>
      <c r="V35" s="1497"/>
      <c r="W35" s="1649" t="s">
        <v>262</v>
      </c>
      <c r="X35" s="1497"/>
      <c r="Y35" s="129"/>
      <c r="Z35" s="1497"/>
      <c r="AA35" s="129"/>
      <c r="AB35" s="1497"/>
      <c r="AC35" s="129"/>
      <c r="AD35" s="1497"/>
      <c r="AE35" s="129"/>
      <c r="AF35" s="1497"/>
      <c r="AG35" s="129"/>
      <c r="AH35" s="1497"/>
      <c r="AI35" s="129"/>
      <c r="AJ35" s="1497"/>
      <c r="AK35" s="129"/>
      <c r="AL35" s="1497"/>
      <c r="AM35" s="129"/>
      <c r="AN35" s="1497"/>
      <c r="AO35" s="129"/>
    </row>
    <row r="36" spans="1:41">
      <c r="A36" s="1494"/>
      <c r="B36" s="1510"/>
      <c r="C36" s="1526"/>
      <c r="D36" s="1546"/>
      <c r="E36" s="129" t="s">
        <v>263</v>
      </c>
      <c r="F36" s="1560"/>
      <c r="G36" s="1587"/>
      <c r="H36" s="139">
        <f>C35-F35</f>
        <v>18449.5</v>
      </c>
      <c r="I36" s="1489"/>
      <c r="J36" s="1497"/>
      <c r="K36" s="1489"/>
      <c r="L36" s="1633"/>
      <c r="M36" s="1496"/>
      <c r="N36" s="1497"/>
      <c r="O36" s="1489"/>
      <c r="P36" s="1497"/>
      <c r="Q36" s="129"/>
      <c r="R36" s="1497"/>
      <c r="S36" s="129"/>
      <c r="T36" s="1497"/>
      <c r="U36" s="129"/>
      <c r="V36" s="1497"/>
      <c r="W36" s="1590"/>
      <c r="X36" s="1497"/>
      <c r="Y36" s="129"/>
      <c r="Z36" s="1497"/>
      <c r="AA36" s="129"/>
      <c r="AB36" s="1497"/>
      <c r="AC36" s="129"/>
      <c r="AD36" s="1497"/>
      <c r="AE36" s="129"/>
      <c r="AF36" s="1497"/>
      <c r="AG36" s="129"/>
      <c r="AH36" s="1497"/>
      <c r="AI36" s="129"/>
      <c r="AJ36" s="1497"/>
      <c r="AK36" s="129"/>
      <c r="AL36" s="1497"/>
      <c r="AM36" s="129"/>
      <c r="AN36" s="1497"/>
      <c r="AO36" s="129"/>
    </row>
    <row r="37" spans="1:41">
      <c r="A37" s="1494"/>
      <c r="B37" s="1510"/>
      <c r="C37" s="1526"/>
      <c r="D37" s="1546"/>
      <c r="E37" s="181" t="s">
        <v>264</v>
      </c>
      <c r="F37" s="1560"/>
      <c r="G37" s="1587"/>
      <c r="H37" s="136"/>
      <c r="I37" s="1489"/>
      <c r="J37" s="1497"/>
      <c r="K37" s="1489"/>
      <c r="L37" s="1633"/>
      <c r="M37" s="1496"/>
      <c r="N37" s="1497"/>
      <c r="O37" s="1489"/>
      <c r="P37" s="1497"/>
      <c r="Q37" s="129"/>
      <c r="R37" s="1497"/>
      <c r="S37" s="129"/>
      <c r="T37" s="1497"/>
      <c r="U37" s="129"/>
      <c r="V37" s="1497"/>
      <c r="W37" s="1590"/>
      <c r="X37" s="1497"/>
      <c r="Y37" s="129"/>
      <c r="Z37" s="1497"/>
      <c r="AA37" s="129"/>
      <c r="AB37" s="1497"/>
      <c r="AC37" s="129"/>
      <c r="AD37" s="1497"/>
      <c r="AE37" s="129"/>
      <c r="AF37" s="1497"/>
      <c r="AG37" s="129"/>
      <c r="AH37" s="1497"/>
      <c r="AI37" s="129"/>
      <c r="AJ37" s="1497"/>
      <c r="AK37" s="129"/>
      <c r="AL37" s="1497"/>
      <c r="AM37" s="129"/>
      <c r="AN37" s="1497"/>
      <c r="AO37" s="129"/>
    </row>
    <row r="38" spans="1:41">
      <c r="A38" s="1495"/>
      <c r="B38" s="1511"/>
      <c r="C38" s="1526"/>
      <c r="D38" s="1546"/>
      <c r="E38" s="129" t="s">
        <v>265</v>
      </c>
      <c r="F38" s="1561"/>
      <c r="G38" s="1588"/>
      <c r="H38" s="136"/>
      <c r="I38" s="1489"/>
      <c r="J38" s="1497"/>
      <c r="K38" s="1489"/>
      <c r="L38" s="1634"/>
      <c r="M38" s="1496"/>
      <c r="N38" s="1497"/>
      <c r="O38" s="1489"/>
      <c r="P38" s="1497"/>
      <c r="Q38" s="129"/>
      <c r="R38" s="1497"/>
      <c r="S38" s="129"/>
      <c r="T38" s="1497"/>
      <c r="U38" s="129"/>
      <c r="V38" s="1497"/>
      <c r="W38" s="1591"/>
      <c r="X38" s="1497"/>
      <c r="Y38" s="129"/>
      <c r="Z38" s="1497"/>
      <c r="AA38" s="129"/>
      <c r="AB38" s="1497"/>
      <c r="AC38" s="129"/>
      <c r="AD38" s="1497"/>
      <c r="AE38" s="129"/>
      <c r="AF38" s="1497"/>
      <c r="AG38" s="129"/>
      <c r="AH38" s="1497"/>
      <c r="AI38" s="129"/>
      <c r="AJ38" s="1497"/>
      <c r="AK38" s="129"/>
      <c r="AL38" s="1497"/>
      <c r="AM38" s="129"/>
      <c r="AN38" s="1497"/>
      <c r="AO38" s="129"/>
    </row>
    <row r="39" spans="1:41">
      <c r="A39" s="1493">
        <v>10</v>
      </c>
      <c r="B39" s="1506" t="s">
        <v>273</v>
      </c>
      <c r="C39" s="1526">
        <v>14350</v>
      </c>
      <c r="D39" s="1545" t="s">
        <v>239</v>
      </c>
      <c r="E39" s="129" t="s">
        <v>274</v>
      </c>
      <c r="F39" s="1558">
        <v>14350</v>
      </c>
      <c r="G39" s="1589" t="s">
        <v>275</v>
      </c>
      <c r="H39" s="1497"/>
      <c r="I39" s="129"/>
      <c r="J39" s="1497"/>
      <c r="K39" s="129"/>
      <c r="L39" s="1497"/>
      <c r="M39" s="129"/>
      <c r="N39" s="1497"/>
      <c r="O39" s="1489"/>
      <c r="P39" s="1497"/>
      <c r="Q39" s="129"/>
      <c r="R39" s="1497"/>
      <c r="S39" s="129"/>
      <c r="T39" s="1497"/>
      <c r="U39" s="129"/>
      <c r="V39" s="1497"/>
      <c r="W39" s="1649" t="s">
        <v>262</v>
      </c>
      <c r="X39" s="1497"/>
      <c r="Y39" s="129"/>
      <c r="Z39" s="1497"/>
      <c r="AA39" s="129"/>
      <c r="AB39" s="1497"/>
      <c r="AC39" s="129"/>
      <c r="AD39" s="1497"/>
      <c r="AE39" s="129"/>
      <c r="AF39" s="1497"/>
      <c r="AG39" s="129"/>
      <c r="AH39" s="1497"/>
      <c r="AI39" s="129"/>
      <c r="AJ39" s="1497"/>
      <c r="AK39" s="129"/>
      <c r="AL39" s="1497"/>
      <c r="AM39" s="129"/>
      <c r="AN39" s="1497"/>
      <c r="AO39" s="129"/>
    </row>
    <row r="40" spans="1:41">
      <c r="A40" s="1494"/>
      <c r="B40" s="1507"/>
      <c r="C40" s="1526"/>
      <c r="D40" s="1546"/>
      <c r="E40" s="129" t="s">
        <v>276</v>
      </c>
      <c r="F40" s="1558"/>
      <c r="G40" s="1590"/>
      <c r="H40" s="1497"/>
      <c r="I40" s="129"/>
      <c r="J40" s="1497"/>
      <c r="K40" s="129"/>
      <c r="L40" s="1497"/>
      <c r="M40" s="129"/>
      <c r="N40" s="1497"/>
      <c r="O40" s="1489"/>
      <c r="P40" s="1497"/>
      <c r="Q40" s="129"/>
      <c r="R40" s="1497"/>
      <c r="S40" s="129"/>
      <c r="T40" s="1497"/>
      <c r="U40" s="129"/>
      <c r="V40" s="1497"/>
      <c r="W40" s="1590"/>
      <c r="X40" s="1497"/>
      <c r="Y40" s="129"/>
      <c r="Z40" s="1497"/>
      <c r="AA40" s="129"/>
      <c r="AB40" s="1497"/>
      <c r="AC40" s="129"/>
      <c r="AD40" s="1497"/>
      <c r="AE40" s="129"/>
      <c r="AF40" s="1497"/>
      <c r="AG40" s="129"/>
      <c r="AH40" s="1497"/>
      <c r="AI40" s="129"/>
      <c r="AJ40" s="1497"/>
      <c r="AK40" s="129"/>
      <c r="AL40" s="1497"/>
      <c r="AM40" s="129"/>
      <c r="AN40" s="1497"/>
      <c r="AO40" s="129"/>
    </row>
    <row r="41" spans="1:41">
      <c r="A41" s="1494"/>
      <c r="B41" s="1507"/>
      <c r="C41" s="1526"/>
      <c r="D41" s="1546"/>
      <c r="E41" s="181" t="s">
        <v>277</v>
      </c>
      <c r="F41" s="1558"/>
      <c r="G41" s="1590"/>
      <c r="H41" s="1497"/>
      <c r="I41" s="129"/>
      <c r="J41" s="1497"/>
      <c r="K41" s="129"/>
      <c r="L41" s="1497"/>
      <c r="M41" s="129"/>
      <c r="N41" s="1497"/>
      <c r="O41" s="1489"/>
      <c r="P41" s="1497"/>
      <c r="Q41" s="129"/>
      <c r="R41" s="1497"/>
      <c r="S41" s="129"/>
      <c r="T41" s="1497"/>
      <c r="U41" s="129"/>
      <c r="V41" s="1497"/>
      <c r="W41" s="1590"/>
      <c r="X41" s="1497"/>
      <c r="Y41" s="129"/>
      <c r="Z41" s="1497"/>
      <c r="AA41" s="129"/>
      <c r="AB41" s="1497"/>
      <c r="AC41" s="129"/>
      <c r="AD41" s="1497"/>
      <c r="AE41" s="129"/>
      <c r="AF41" s="1497"/>
      <c r="AG41" s="129"/>
      <c r="AH41" s="1497"/>
      <c r="AI41" s="129"/>
      <c r="AJ41" s="1497"/>
      <c r="AK41" s="129"/>
      <c r="AL41" s="1497"/>
      <c r="AM41" s="129"/>
      <c r="AN41" s="1497"/>
      <c r="AO41" s="129"/>
    </row>
    <row r="42" spans="1:41">
      <c r="A42" s="1495"/>
      <c r="B42" s="1508"/>
      <c r="C42" s="1526"/>
      <c r="D42" s="1546"/>
      <c r="E42" s="129" t="s">
        <v>250</v>
      </c>
      <c r="F42" s="1558"/>
      <c r="G42" s="1591"/>
      <c r="H42" s="1497"/>
      <c r="I42" s="129"/>
      <c r="J42" s="1497"/>
      <c r="K42" s="129"/>
      <c r="L42" s="1497"/>
      <c r="M42" s="129"/>
      <c r="N42" s="1497"/>
      <c r="O42" s="1489"/>
      <c r="P42" s="1497"/>
      <c r="Q42" s="129"/>
      <c r="R42" s="1497"/>
      <c r="S42" s="129"/>
      <c r="T42" s="1497"/>
      <c r="U42" s="129"/>
      <c r="V42" s="1497"/>
      <c r="W42" s="1591"/>
      <c r="X42" s="1497"/>
      <c r="Y42" s="129"/>
      <c r="Z42" s="1497"/>
      <c r="AA42" s="129"/>
      <c r="AB42" s="1497"/>
      <c r="AC42" s="129"/>
      <c r="AD42" s="1497"/>
      <c r="AE42" s="129"/>
      <c r="AF42" s="1497"/>
      <c r="AG42" s="129"/>
      <c r="AH42" s="1497"/>
      <c r="AI42" s="129"/>
      <c r="AJ42" s="1497"/>
      <c r="AK42" s="129"/>
      <c r="AL42" s="1497"/>
      <c r="AM42" s="129"/>
      <c r="AN42" s="1497"/>
      <c r="AO42" s="129"/>
    </row>
    <row r="43" spans="1:41">
      <c r="A43" s="1493">
        <v>11</v>
      </c>
      <c r="B43" s="1506" t="s">
        <v>278</v>
      </c>
      <c r="C43" s="1526">
        <v>30201</v>
      </c>
      <c r="D43" s="1545" t="s">
        <v>279</v>
      </c>
      <c r="E43" s="129" t="s">
        <v>280</v>
      </c>
      <c r="F43" s="140"/>
      <c r="G43" s="1584" t="s">
        <v>281</v>
      </c>
      <c r="H43" s="132"/>
      <c r="I43" s="1489"/>
      <c r="J43" s="132"/>
      <c r="K43" s="1489"/>
      <c r="L43" s="1632">
        <v>7550</v>
      </c>
      <c r="M43" s="1496" t="s">
        <v>282</v>
      </c>
      <c r="N43" s="132"/>
      <c r="O43" s="1489">
        <v>7550</v>
      </c>
      <c r="P43" s="1675" t="s">
        <v>283</v>
      </c>
      <c r="Q43" s="129"/>
      <c r="R43" s="1690">
        <v>7550</v>
      </c>
      <c r="S43" s="1696" t="s">
        <v>282</v>
      </c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</row>
    <row r="44" spans="1:41">
      <c r="A44" s="1494"/>
      <c r="B44" s="1507"/>
      <c r="C44" s="1526"/>
      <c r="D44" s="1546"/>
      <c r="E44" s="137" t="s">
        <v>284</v>
      </c>
      <c r="F44" s="140">
        <f>7550+7550</f>
        <v>15100</v>
      </c>
      <c r="G44" s="1585"/>
      <c r="H44" s="141">
        <f>C43-F44-O43</f>
        <v>7551</v>
      </c>
      <c r="I44" s="1489"/>
      <c r="J44" s="134"/>
      <c r="K44" s="1489"/>
      <c r="L44" s="1633"/>
      <c r="M44" s="1496"/>
      <c r="N44" s="134"/>
      <c r="O44" s="1489"/>
      <c r="P44" s="1663"/>
      <c r="Q44" s="129"/>
      <c r="R44" s="1691"/>
      <c r="S44" s="1696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</row>
    <row r="45" spans="1:41">
      <c r="A45" s="1494"/>
      <c r="B45" s="1507"/>
      <c r="C45" s="1526"/>
      <c r="D45" s="1546"/>
      <c r="E45" s="181" t="s">
        <v>285</v>
      </c>
      <c r="F45" s="140"/>
      <c r="G45" s="1585"/>
      <c r="H45" s="132"/>
      <c r="I45" s="1489"/>
      <c r="J45" s="132"/>
      <c r="K45" s="1489"/>
      <c r="L45" s="1633"/>
      <c r="M45" s="1496"/>
      <c r="N45" s="132"/>
      <c r="O45" s="1489"/>
      <c r="P45" s="1663"/>
      <c r="Q45" s="129"/>
      <c r="R45" s="1691"/>
      <c r="S45" s="1696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</row>
    <row r="46" spans="1:41">
      <c r="A46" s="1495"/>
      <c r="B46" s="1508"/>
      <c r="C46" s="1526"/>
      <c r="D46" s="1546"/>
      <c r="E46" s="129" t="s">
        <v>286</v>
      </c>
      <c r="F46" s="140"/>
      <c r="G46" s="1585"/>
      <c r="H46" s="132"/>
      <c r="I46" s="1489"/>
      <c r="J46" s="132"/>
      <c r="K46" s="1489"/>
      <c r="L46" s="1634"/>
      <c r="M46" s="1496"/>
      <c r="N46" s="132"/>
      <c r="O46" s="1489"/>
      <c r="P46" s="1676"/>
      <c r="Q46" s="129"/>
      <c r="R46" s="1692"/>
      <c r="S46" s="1696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</row>
    <row r="47" spans="1:41">
      <c r="A47" s="1493">
        <v>12</v>
      </c>
      <c r="B47" s="1509" t="s">
        <v>287</v>
      </c>
      <c r="C47" s="1526">
        <v>813066</v>
      </c>
      <c r="D47" s="1545" t="s">
        <v>288</v>
      </c>
      <c r="E47" s="129" t="s">
        <v>289</v>
      </c>
      <c r="F47" s="1558">
        <f>C47</f>
        <v>813066</v>
      </c>
      <c r="G47" s="1584" t="s">
        <v>290</v>
      </c>
      <c r="H47" s="1497"/>
      <c r="I47" s="1489"/>
      <c r="J47" s="1497"/>
      <c r="K47" s="1489"/>
      <c r="L47" s="1497"/>
      <c r="M47" s="1489"/>
      <c r="N47" s="1497"/>
      <c r="O47" s="1489"/>
      <c r="P47" s="129"/>
      <c r="Q47" s="129"/>
      <c r="R47" s="129"/>
      <c r="S47" s="129"/>
      <c r="T47" s="129"/>
      <c r="U47" s="1549"/>
      <c r="V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</row>
    <row r="48" spans="1:41">
      <c r="A48" s="1494"/>
      <c r="B48" s="1510"/>
      <c r="C48" s="1526"/>
      <c r="D48" s="1546"/>
      <c r="E48" s="129" t="s">
        <v>291</v>
      </c>
      <c r="F48" s="1558"/>
      <c r="G48" s="1585"/>
      <c r="H48" s="1497"/>
      <c r="I48" s="1489"/>
      <c r="J48" s="1497"/>
      <c r="K48" s="1489"/>
      <c r="L48" s="1497"/>
      <c r="M48" s="1489"/>
      <c r="N48" s="1497"/>
      <c r="O48" s="1489"/>
      <c r="P48" s="129"/>
      <c r="Q48" s="129"/>
      <c r="R48" s="129"/>
      <c r="S48" s="129"/>
      <c r="T48" s="129"/>
      <c r="U48" s="1494"/>
      <c r="V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</row>
    <row r="49" spans="1:41">
      <c r="A49" s="1494"/>
      <c r="B49" s="1510"/>
      <c r="C49" s="1526"/>
      <c r="D49" s="1546"/>
      <c r="E49" s="181" t="s">
        <v>292</v>
      </c>
      <c r="F49" s="1558"/>
      <c r="G49" s="1585"/>
      <c r="H49" s="1497"/>
      <c r="I49" s="1489"/>
      <c r="J49" s="1497"/>
      <c r="K49" s="1489"/>
      <c r="L49" s="1497"/>
      <c r="M49" s="1489"/>
      <c r="N49" s="1497"/>
      <c r="O49" s="1489"/>
      <c r="P49" s="129"/>
      <c r="Q49" s="129"/>
      <c r="R49" s="129"/>
      <c r="S49" s="129"/>
      <c r="T49" s="129"/>
      <c r="U49" s="1494"/>
      <c r="V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</row>
    <row r="50" spans="1:41">
      <c r="A50" s="1495"/>
      <c r="B50" s="1511"/>
      <c r="C50" s="1526"/>
      <c r="D50" s="1546"/>
      <c r="E50" s="129" t="s">
        <v>256</v>
      </c>
      <c r="F50" s="1558"/>
      <c r="G50" s="1585"/>
      <c r="H50" s="1497"/>
      <c r="I50" s="1489"/>
      <c r="J50" s="1497"/>
      <c r="K50" s="1489"/>
      <c r="L50" s="1497"/>
      <c r="M50" s="1489"/>
      <c r="N50" s="1497"/>
      <c r="O50" s="1489"/>
      <c r="P50" s="129"/>
      <c r="Q50" s="129"/>
      <c r="R50" s="129"/>
      <c r="S50" s="129"/>
      <c r="T50" s="129"/>
      <c r="U50" s="1495"/>
      <c r="V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</row>
    <row r="51" spans="1:41">
      <c r="A51" s="1493">
        <v>13</v>
      </c>
      <c r="B51" s="1512" t="s">
        <v>293</v>
      </c>
      <c r="C51" s="1526">
        <v>250000</v>
      </c>
      <c r="D51" s="1545" t="s">
        <v>294</v>
      </c>
      <c r="E51" s="129" t="s">
        <v>295</v>
      </c>
      <c r="F51" s="140">
        <v>186000</v>
      </c>
      <c r="G51" s="142"/>
      <c r="H51" s="132"/>
      <c r="I51" s="1489"/>
      <c r="J51" s="132"/>
      <c r="K51" s="1489"/>
      <c r="L51" s="132"/>
      <c r="M51" s="1489"/>
      <c r="N51" s="132"/>
      <c r="O51" s="148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</row>
    <row r="52" spans="1:41" ht="24.6">
      <c r="A52" s="1494"/>
      <c r="B52" s="1513"/>
      <c r="C52" s="1526"/>
      <c r="D52" s="1546"/>
      <c r="E52" s="143" t="s">
        <v>296</v>
      </c>
      <c r="F52" s="144">
        <v>48000</v>
      </c>
      <c r="G52" s="131" t="s">
        <v>297</v>
      </c>
      <c r="H52" s="134"/>
      <c r="I52" s="1489"/>
      <c r="J52" s="134"/>
      <c r="K52" s="1489"/>
      <c r="L52" s="134"/>
      <c r="M52" s="1489"/>
      <c r="N52" s="134"/>
      <c r="O52" s="148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</row>
    <row r="53" spans="1:41">
      <c r="A53" s="1494"/>
      <c r="B53" s="1513"/>
      <c r="C53" s="1526"/>
      <c r="D53" s="1546"/>
      <c r="E53" s="181" t="s">
        <v>298</v>
      </c>
      <c r="F53" s="140">
        <v>16000</v>
      </c>
      <c r="G53" s="145">
        <v>45332</v>
      </c>
      <c r="H53" s="132"/>
      <c r="I53" s="1489"/>
      <c r="J53" s="132"/>
      <c r="K53" s="1489"/>
      <c r="L53" s="132"/>
      <c r="M53" s="1489"/>
      <c r="N53" s="132"/>
      <c r="O53" s="148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</row>
    <row r="54" spans="1:41">
      <c r="A54" s="1495"/>
      <c r="B54" s="1514"/>
      <c r="C54" s="1526"/>
      <c r="D54" s="1546"/>
      <c r="E54" s="129" t="s">
        <v>256</v>
      </c>
      <c r="F54" s="140"/>
      <c r="G54" s="142"/>
      <c r="H54" s="132"/>
      <c r="I54" s="1489"/>
      <c r="J54" s="132"/>
      <c r="K54" s="1489"/>
      <c r="L54" s="132"/>
      <c r="M54" s="1489"/>
      <c r="N54" s="132"/>
      <c r="O54" s="148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</row>
    <row r="55" spans="1:41" ht="24.6">
      <c r="A55" s="1493">
        <v>14</v>
      </c>
      <c r="B55" s="1512" t="s">
        <v>299</v>
      </c>
      <c r="C55" s="1526">
        <v>140785</v>
      </c>
      <c r="D55" s="1545" t="s">
        <v>300</v>
      </c>
      <c r="E55" s="129" t="s">
        <v>301</v>
      </c>
      <c r="F55" s="135">
        <v>35845</v>
      </c>
      <c r="G55" s="131" t="s">
        <v>302</v>
      </c>
      <c r="H55" s="1600"/>
      <c r="I55" s="1489"/>
      <c r="J55" s="1497">
        <v>0</v>
      </c>
      <c r="K55" s="1489"/>
      <c r="L55" s="1497"/>
      <c r="M55" s="1489"/>
      <c r="N55" s="1497"/>
      <c r="O55" s="148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</row>
    <row r="56" spans="1:41" ht="24.6">
      <c r="A56" s="1494"/>
      <c r="B56" s="1513"/>
      <c r="C56" s="1526"/>
      <c r="D56" s="1546"/>
      <c r="E56" s="146" t="s">
        <v>303</v>
      </c>
      <c r="F56" s="135">
        <v>40665</v>
      </c>
      <c r="G56" s="131" t="s">
        <v>304</v>
      </c>
      <c r="H56" s="1600"/>
      <c r="I56" s="1489"/>
      <c r="J56" s="1497"/>
      <c r="K56" s="1489"/>
      <c r="L56" s="1497"/>
      <c r="M56" s="1489"/>
      <c r="N56" s="1497"/>
      <c r="O56" s="148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</row>
    <row r="57" spans="1:41" ht="24.6">
      <c r="A57" s="1494"/>
      <c r="B57" s="1513"/>
      <c r="C57" s="1526"/>
      <c r="D57" s="1546"/>
      <c r="E57" s="182" t="s">
        <v>305</v>
      </c>
      <c r="F57" s="135">
        <v>10611</v>
      </c>
      <c r="G57" s="131" t="s">
        <v>306</v>
      </c>
      <c r="H57" s="1600"/>
      <c r="I57" s="1489"/>
      <c r="J57" s="1497"/>
      <c r="K57" s="1489"/>
      <c r="L57" s="1497"/>
      <c r="M57" s="1489"/>
      <c r="N57" s="1497"/>
      <c r="O57" s="148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</row>
    <row r="58" spans="1:41" ht="24.6">
      <c r="A58" s="1495"/>
      <c r="B58" s="1514"/>
      <c r="C58" s="1526"/>
      <c r="D58" s="1546"/>
      <c r="E58" s="129" t="s">
        <v>256</v>
      </c>
      <c r="F58" s="135">
        <v>53664</v>
      </c>
      <c r="G58" s="131" t="s">
        <v>307</v>
      </c>
      <c r="H58" s="1600"/>
      <c r="I58" s="1489"/>
      <c r="J58" s="1497"/>
      <c r="K58" s="1489"/>
      <c r="L58" s="1497"/>
      <c r="M58" s="1489"/>
      <c r="N58" s="1497"/>
      <c r="O58" s="148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</row>
    <row r="59" spans="1:41">
      <c r="A59" s="1493">
        <v>15</v>
      </c>
      <c r="B59" s="1512" t="s">
        <v>308</v>
      </c>
      <c r="C59" s="1526">
        <v>28100</v>
      </c>
      <c r="D59" s="1545" t="s">
        <v>309</v>
      </c>
      <c r="E59" s="129" t="s">
        <v>310</v>
      </c>
      <c r="F59" s="1558">
        <v>28100</v>
      </c>
      <c r="G59" s="1584" t="s">
        <v>311</v>
      </c>
      <c r="H59" s="1497"/>
      <c r="I59" s="1489"/>
      <c r="J59" s="1497"/>
      <c r="K59" s="1489"/>
      <c r="L59" s="1497"/>
      <c r="M59" s="1489"/>
      <c r="N59" s="1497"/>
      <c r="O59" s="148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</row>
    <row r="60" spans="1:41">
      <c r="A60" s="1494"/>
      <c r="B60" s="1513"/>
      <c r="C60" s="1526"/>
      <c r="D60" s="1545"/>
      <c r="E60" s="129" t="s">
        <v>276</v>
      </c>
      <c r="F60" s="1558"/>
      <c r="G60" s="1585"/>
      <c r="H60" s="1497"/>
      <c r="I60" s="1489"/>
      <c r="J60" s="1497"/>
      <c r="K60" s="1489"/>
      <c r="L60" s="1497"/>
      <c r="M60" s="1489"/>
      <c r="N60" s="1497"/>
      <c r="O60" s="148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</row>
    <row r="61" spans="1:41">
      <c r="A61" s="1494"/>
      <c r="B61" s="1513"/>
      <c r="C61" s="1526"/>
      <c r="D61" s="1545"/>
      <c r="E61" s="181" t="s">
        <v>312</v>
      </c>
      <c r="F61" s="1558"/>
      <c r="G61" s="1585"/>
      <c r="H61" s="1497"/>
      <c r="I61" s="1489"/>
      <c r="J61" s="1497"/>
      <c r="K61" s="1489"/>
      <c r="L61" s="1497"/>
      <c r="M61" s="1489"/>
      <c r="N61" s="1497"/>
      <c r="O61" s="148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</row>
    <row r="62" spans="1:41">
      <c r="A62" s="1495"/>
      <c r="B62" s="1514"/>
      <c r="C62" s="1526"/>
      <c r="D62" s="1545"/>
      <c r="E62" s="129" t="s">
        <v>256</v>
      </c>
      <c r="F62" s="1558"/>
      <c r="G62" s="1585"/>
      <c r="H62" s="1497"/>
      <c r="I62" s="1489"/>
      <c r="J62" s="1497"/>
      <c r="K62" s="1489"/>
      <c r="L62" s="1497"/>
      <c r="M62" s="1489"/>
      <c r="N62" s="1497"/>
      <c r="O62" s="148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</row>
    <row r="63" spans="1:41">
      <c r="A63" s="1493">
        <v>16</v>
      </c>
      <c r="B63" s="1512" t="s">
        <v>313</v>
      </c>
      <c r="C63" s="1526">
        <v>64306</v>
      </c>
      <c r="D63" s="1545" t="s">
        <v>314</v>
      </c>
      <c r="E63" s="129" t="s">
        <v>315</v>
      </c>
      <c r="F63" s="1562">
        <f>C63/4</f>
        <v>16076.5</v>
      </c>
      <c r="G63" s="1584" t="s">
        <v>316</v>
      </c>
      <c r="H63" s="132"/>
      <c r="I63" s="1489"/>
      <c r="J63" s="1581"/>
      <c r="K63" s="1496"/>
      <c r="L63" s="1635">
        <f>F63</f>
        <v>16076.5</v>
      </c>
      <c r="M63" s="1496" t="s">
        <v>317</v>
      </c>
      <c r="N63" s="1581"/>
      <c r="O63" s="1670"/>
      <c r="P63" s="129"/>
      <c r="Q63" s="129"/>
      <c r="R63" s="1625">
        <v>16076</v>
      </c>
      <c r="S63" s="1697" t="s">
        <v>318</v>
      </c>
      <c r="T63" s="129"/>
      <c r="U63" s="129"/>
      <c r="V63" s="1625">
        <v>16076</v>
      </c>
      <c r="W63" s="1697" t="s">
        <v>319</v>
      </c>
      <c r="X63" s="129"/>
      <c r="Y63" s="1706"/>
      <c r="Z63" s="129"/>
      <c r="AA63" s="1706"/>
      <c r="AB63" s="129"/>
      <c r="AC63" s="1706"/>
      <c r="AD63" s="129"/>
      <c r="AE63" s="1706"/>
      <c r="AF63" s="129"/>
      <c r="AG63" s="1706"/>
      <c r="AH63" s="129"/>
      <c r="AI63" s="1706"/>
      <c r="AJ63" s="129"/>
      <c r="AK63" s="1706"/>
      <c r="AL63" s="129"/>
      <c r="AM63" s="1706"/>
      <c r="AN63" s="129"/>
      <c r="AO63" s="1706"/>
    </row>
    <row r="64" spans="1:41">
      <c r="A64" s="1494"/>
      <c r="B64" s="1513"/>
      <c r="C64" s="1526"/>
      <c r="D64" s="1546"/>
      <c r="E64" s="129" t="s">
        <v>320</v>
      </c>
      <c r="F64" s="1563"/>
      <c r="G64" s="1585"/>
      <c r="H64" s="147">
        <f>C63-F63</f>
        <v>48229.5</v>
      </c>
      <c r="I64" s="1489"/>
      <c r="J64" s="1628"/>
      <c r="K64" s="1496"/>
      <c r="L64" s="1636"/>
      <c r="M64" s="1496"/>
      <c r="N64" s="1628"/>
      <c r="O64" s="1670"/>
      <c r="P64" s="129"/>
      <c r="Q64" s="129"/>
      <c r="R64" s="1626"/>
      <c r="S64" s="1697"/>
      <c r="T64" s="129"/>
      <c r="U64" s="129"/>
      <c r="V64" s="1626"/>
      <c r="W64" s="1697"/>
      <c r="X64" s="149"/>
      <c r="Y64" s="1706"/>
      <c r="Z64" s="149"/>
      <c r="AA64" s="1706"/>
      <c r="AB64" s="149"/>
      <c r="AC64" s="1706"/>
      <c r="AD64" s="149"/>
      <c r="AE64" s="1706"/>
      <c r="AF64" s="149"/>
      <c r="AG64" s="1706"/>
      <c r="AH64" s="149"/>
      <c r="AI64" s="1706"/>
      <c r="AJ64" s="149"/>
      <c r="AK64" s="1706"/>
      <c r="AL64" s="149"/>
      <c r="AM64" s="1706"/>
      <c r="AN64" s="149"/>
      <c r="AO64" s="1706"/>
    </row>
    <row r="65" spans="1:41">
      <c r="A65" s="1494"/>
      <c r="B65" s="1513"/>
      <c r="C65" s="1526"/>
      <c r="D65" s="1546"/>
      <c r="E65" s="129"/>
      <c r="F65" s="1563"/>
      <c r="G65" s="1585"/>
      <c r="H65" s="132"/>
      <c r="I65" s="1489"/>
      <c r="J65" s="1628"/>
      <c r="K65" s="1496"/>
      <c r="L65" s="1636"/>
      <c r="M65" s="1496"/>
      <c r="N65" s="1628"/>
      <c r="O65" s="1670"/>
      <c r="P65" s="129"/>
      <c r="Q65" s="129"/>
      <c r="R65" s="1626"/>
      <c r="S65" s="1697"/>
      <c r="T65" s="129"/>
      <c r="U65" s="129"/>
      <c r="V65" s="1626"/>
      <c r="W65" s="1697"/>
      <c r="X65" s="129"/>
      <c r="Y65" s="1706"/>
      <c r="Z65" s="129"/>
      <c r="AA65" s="1706"/>
      <c r="AB65" s="129"/>
      <c r="AC65" s="1706"/>
      <c r="AD65" s="129"/>
      <c r="AE65" s="1706"/>
      <c r="AF65" s="129"/>
      <c r="AG65" s="1706"/>
      <c r="AH65" s="129"/>
      <c r="AI65" s="1706"/>
      <c r="AJ65" s="129"/>
      <c r="AK65" s="1706"/>
      <c r="AL65" s="129"/>
      <c r="AM65" s="1706"/>
      <c r="AN65" s="129"/>
      <c r="AO65" s="1706"/>
    </row>
    <row r="66" spans="1:41">
      <c r="A66" s="1495"/>
      <c r="B66" s="1514"/>
      <c r="C66" s="1526"/>
      <c r="D66" s="1546"/>
      <c r="E66" s="129" t="s">
        <v>321</v>
      </c>
      <c r="F66" s="1564"/>
      <c r="G66" s="1585"/>
      <c r="H66" s="132"/>
      <c r="I66" s="1489"/>
      <c r="J66" s="1628"/>
      <c r="K66" s="1496"/>
      <c r="L66" s="1637"/>
      <c r="M66" s="1496"/>
      <c r="N66" s="1660"/>
      <c r="O66" s="1670"/>
      <c r="P66" s="129"/>
      <c r="Q66" s="129"/>
      <c r="R66" s="1627"/>
      <c r="S66" s="1697"/>
      <c r="T66" s="129"/>
      <c r="U66" s="129"/>
      <c r="V66" s="1627"/>
      <c r="W66" s="1697"/>
      <c r="X66" s="129"/>
      <c r="Y66" s="1706"/>
      <c r="Z66" s="129"/>
      <c r="AA66" s="1706"/>
      <c r="AB66" s="129"/>
      <c r="AC66" s="1706"/>
      <c r="AD66" s="129"/>
      <c r="AE66" s="1706"/>
      <c r="AF66" s="129"/>
      <c r="AG66" s="1706"/>
      <c r="AH66" s="129"/>
      <c r="AI66" s="1706"/>
      <c r="AJ66" s="129"/>
      <c r="AK66" s="1706"/>
      <c r="AL66" s="129"/>
      <c r="AM66" s="1706"/>
      <c r="AN66" s="129"/>
      <c r="AO66" s="1706"/>
    </row>
    <row r="67" spans="1:41" ht="13.2" customHeight="1">
      <c r="A67" s="1493">
        <v>17</v>
      </c>
      <c r="B67" s="1515" t="s">
        <v>322</v>
      </c>
      <c r="C67" s="1526">
        <v>192000</v>
      </c>
      <c r="D67" s="1545" t="s">
        <v>294</v>
      </c>
      <c r="E67" s="150" t="s">
        <v>323</v>
      </c>
      <c r="F67" s="1565">
        <v>16000</v>
      </c>
      <c r="G67" s="1496" t="s">
        <v>324</v>
      </c>
      <c r="H67" s="1601">
        <v>16000</v>
      </c>
      <c r="I67" s="1496" t="s">
        <v>325</v>
      </c>
      <c r="J67" s="1601">
        <v>16000</v>
      </c>
      <c r="K67" s="1496" t="s">
        <v>326</v>
      </c>
      <c r="L67" s="1638">
        <v>16000</v>
      </c>
      <c r="M67" s="1496" t="s">
        <v>327</v>
      </c>
      <c r="N67" s="1638">
        <v>16000</v>
      </c>
      <c r="O67" s="1496" t="s">
        <v>328</v>
      </c>
      <c r="P67" s="1638">
        <v>16000</v>
      </c>
      <c r="Q67" s="1496" t="s">
        <v>329</v>
      </c>
      <c r="R67" s="1638">
        <v>16000</v>
      </c>
      <c r="S67" s="1496" t="s">
        <v>326</v>
      </c>
      <c r="T67" s="1638">
        <v>16000</v>
      </c>
      <c r="U67" s="1496" t="s">
        <v>330</v>
      </c>
      <c r="V67" s="1638">
        <v>16000</v>
      </c>
      <c r="W67" s="1496" t="s">
        <v>331</v>
      </c>
      <c r="X67" s="1638">
        <v>16000</v>
      </c>
      <c r="Y67" s="1496" t="s">
        <v>332</v>
      </c>
      <c r="Z67" s="1638">
        <v>16000</v>
      </c>
      <c r="AA67" s="1496" t="s">
        <v>333</v>
      </c>
      <c r="AB67" s="1638">
        <v>16000</v>
      </c>
      <c r="AC67" s="1496" t="s">
        <v>334</v>
      </c>
      <c r="AD67" s="1638">
        <v>16000</v>
      </c>
      <c r="AE67" s="1496" t="s">
        <v>335</v>
      </c>
      <c r="AF67" s="1638">
        <v>16000</v>
      </c>
      <c r="AG67" s="1496" t="s">
        <v>336</v>
      </c>
      <c r="AH67" s="1638">
        <v>16000</v>
      </c>
      <c r="AI67" s="1496" t="s">
        <v>337</v>
      </c>
      <c r="AJ67" s="1638">
        <v>16000</v>
      </c>
      <c r="AK67" s="1496" t="s">
        <v>338</v>
      </c>
      <c r="AL67" s="1638">
        <v>16000</v>
      </c>
      <c r="AM67" s="1496" t="s">
        <v>339</v>
      </c>
      <c r="AN67" s="1638">
        <v>16000</v>
      </c>
      <c r="AO67" s="1649"/>
    </row>
    <row r="68" spans="1:41">
      <c r="A68" s="1494"/>
      <c r="B68" s="1516"/>
      <c r="C68" s="1526"/>
      <c r="D68" s="1546"/>
      <c r="E68" s="129" t="s">
        <v>67</v>
      </c>
      <c r="F68" s="1566"/>
      <c r="G68" s="1489"/>
      <c r="H68" s="1602"/>
      <c r="I68" s="1489"/>
      <c r="J68" s="1602"/>
      <c r="K68" s="1489"/>
      <c r="L68" s="1639"/>
      <c r="M68" s="1489"/>
      <c r="N68" s="1639"/>
      <c r="O68" s="1489"/>
      <c r="P68" s="1639"/>
      <c r="Q68" s="1489"/>
      <c r="R68" s="1639"/>
      <c r="S68" s="1489"/>
      <c r="T68" s="1639"/>
      <c r="U68" s="1489"/>
      <c r="V68" s="1639"/>
      <c r="W68" s="1496"/>
      <c r="X68" s="1639"/>
      <c r="Y68" s="1496"/>
      <c r="Z68" s="1639"/>
      <c r="AA68" s="1496"/>
      <c r="AB68" s="1639"/>
      <c r="AC68" s="1496"/>
      <c r="AD68" s="1639"/>
      <c r="AE68" s="1496"/>
      <c r="AF68" s="1639"/>
      <c r="AG68" s="1496"/>
      <c r="AH68" s="1639"/>
      <c r="AI68" s="1496"/>
      <c r="AJ68" s="1639"/>
      <c r="AK68" s="1496"/>
      <c r="AL68" s="1639"/>
      <c r="AM68" s="1496"/>
      <c r="AN68" s="1639"/>
      <c r="AO68" s="1590"/>
    </row>
    <row r="69" spans="1:41" s="116" customFormat="1">
      <c r="A69" s="1494"/>
      <c r="B69" s="1516"/>
      <c r="C69" s="1526"/>
      <c r="D69" s="1546"/>
      <c r="E69" s="183" t="s">
        <v>298</v>
      </c>
      <c r="F69" s="1566"/>
      <c r="G69" s="1489"/>
      <c r="H69" s="1602"/>
      <c r="I69" s="1489"/>
      <c r="J69" s="1602"/>
      <c r="K69" s="1489"/>
      <c r="L69" s="1639"/>
      <c r="M69" s="1489"/>
      <c r="N69" s="1639"/>
      <c r="O69" s="1489"/>
      <c r="P69" s="1639"/>
      <c r="Q69" s="1489"/>
      <c r="R69" s="1639"/>
      <c r="S69" s="1489"/>
      <c r="T69" s="1639"/>
      <c r="U69" s="1489"/>
      <c r="V69" s="1639"/>
      <c r="W69" s="1496"/>
      <c r="X69" s="1639"/>
      <c r="Y69" s="1496"/>
      <c r="Z69" s="1639"/>
      <c r="AA69" s="1496"/>
      <c r="AB69" s="1639"/>
      <c r="AC69" s="1496"/>
      <c r="AD69" s="1639"/>
      <c r="AE69" s="1496"/>
      <c r="AF69" s="1639"/>
      <c r="AG69" s="1496"/>
      <c r="AH69" s="1639"/>
      <c r="AI69" s="1496"/>
      <c r="AJ69" s="1639"/>
      <c r="AK69" s="1496"/>
      <c r="AL69" s="1639"/>
      <c r="AM69" s="1496"/>
      <c r="AN69" s="1639"/>
      <c r="AO69" s="1590"/>
    </row>
    <row r="70" spans="1:41">
      <c r="A70" s="1495"/>
      <c r="B70" s="1517"/>
      <c r="C70" s="1526"/>
      <c r="D70" s="1546"/>
      <c r="E70" s="129" t="s">
        <v>340</v>
      </c>
      <c r="F70" s="1567"/>
      <c r="G70" s="1489"/>
      <c r="H70" s="1603"/>
      <c r="I70" s="1489"/>
      <c r="J70" s="1603"/>
      <c r="K70" s="1489"/>
      <c r="L70" s="1640"/>
      <c r="M70" s="1489"/>
      <c r="N70" s="1640"/>
      <c r="O70" s="1489"/>
      <c r="P70" s="1640"/>
      <c r="Q70" s="1489"/>
      <c r="R70" s="1640"/>
      <c r="S70" s="1489"/>
      <c r="T70" s="1640"/>
      <c r="U70" s="1489"/>
      <c r="V70" s="1640"/>
      <c r="W70" s="1496"/>
      <c r="X70" s="1640"/>
      <c r="Y70" s="1496"/>
      <c r="Z70" s="1640"/>
      <c r="AA70" s="1496"/>
      <c r="AB70" s="1640"/>
      <c r="AC70" s="1496"/>
      <c r="AD70" s="1640"/>
      <c r="AE70" s="1496"/>
      <c r="AF70" s="1640"/>
      <c r="AG70" s="1496"/>
      <c r="AH70" s="1640"/>
      <c r="AI70" s="1496"/>
      <c r="AJ70" s="1640"/>
      <c r="AK70" s="1496"/>
      <c r="AL70" s="1640"/>
      <c r="AM70" s="1496"/>
      <c r="AN70" s="1640"/>
      <c r="AO70" s="1591"/>
    </row>
    <row r="71" spans="1:41">
      <c r="A71" s="1493">
        <v>18</v>
      </c>
      <c r="B71" s="1512" t="s">
        <v>341</v>
      </c>
      <c r="C71" s="1527">
        <v>117321</v>
      </c>
      <c r="D71" s="1547" t="s">
        <v>251</v>
      </c>
      <c r="E71" s="129" t="s">
        <v>342</v>
      </c>
      <c r="F71" s="1568">
        <f>C71/2</f>
        <v>58660.5</v>
      </c>
      <c r="G71" s="1592" t="s">
        <v>343</v>
      </c>
      <c r="H71" s="129"/>
      <c r="I71" s="129"/>
      <c r="J71" s="129"/>
      <c r="K71" s="129"/>
      <c r="L71" s="1613">
        <f>C71/2</f>
        <v>58660.5</v>
      </c>
      <c r="M71" s="1592" t="s">
        <v>344</v>
      </c>
      <c r="N71" s="1497"/>
      <c r="O71" s="129"/>
      <c r="P71" s="1661"/>
      <c r="Q71" s="129"/>
      <c r="R71" s="1497"/>
      <c r="S71" s="129"/>
      <c r="T71" s="1497"/>
      <c r="U71" s="129"/>
      <c r="V71" s="1497"/>
      <c r="W71" s="129"/>
      <c r="X71" s="1497"/>
      <c r="Y71" s="129"/>
      <c r="Z71" s="1497"/>
      <c r="AA71" s="129"/>
      <c r="AB71" s="1497"/>
      <c r="AC71" s="129"/>
      <c r="AD71" s="1497"/>
      <c r="AE71" s="129"/>
      <c r="AF71" s="1497"/>
      <c r="AG71" s="129"/>
      <c r="AH71" s="1497"/>
      <c r="AI71" s="129"/>
      <c r="AJ71" s="1497"/>
      <c r="AK71" s="129"/>
      <c r="AL71" s="1497"/>
      <c r="AM71" s="129"/>
      <c r="AN71" s="1497"/>
      <c r="AO71" s="129"/>
    </row>
    <row r="72" spans="1:41">
      <c r="A72" s="1494"/>
      <c r="B72" s="1513"/>
      <c r="C72" s="1528"/>
      <c r="D72" s="1548"/>
      <c r="E72" s="129" t="s">
        <v>345</v>
      </c>
      <c r="F72" s="1569"/>
      <c r="G72" s="1494"/>
      <c r="H72" s="129"/>
      <c r="I72" s="129"/>
      <c r="J72" s="129"/>
      <c r="K72" s="129"/>
      <c r="L72" s="1614"/>
      <c r="M72" s="1623"/>
      <c r="N72" s="1497"/>
      <c r="O72" s="129"/>
      <c r="P72" s="1677"/>
      <c r="Q72" s="129"/>
      <c r="R72" s="1497"/>
      <c r="S72" s="129"/>
      <c r="T72" s="1497"/>
      <c r="U72" s="129"/>
      <c r="V72" s="1497"/>
      <c r="W72" s="129"/>
      <c r="X72" s="1497"/>
      <c r="Y72" s="129"/>
      <c r="Z72" s="1497"/>
      <c r="AA72" s="129"/>
      <c r="AB72" s="1497"/>
      <c r="AC72" s="129"/>
      <c r="AD72" s="1497"/>
      <c r="AE72" s="129"/>
      <c r="AF72" s="1497"/>
      <c r="AG72" s="129"/>
      <c r="AH72" s="1497"/>
      <c r="AI72" s="129"/>
      <c r="AJ72" s="1497"/>
      <c r="AK72" s="129"/>
      <c r="AL72" s="1497"/>
      <c r="AM72" s="129"/>
      <c r="AN72" s="1497"/>
      <c r="AO72" s="129"/>
    </row>
    <row r="73" spans="1:41">
      <c r="A73" s="1494"/>
      <c r="B73" s="1513"/>
      <c r="C73" s="1528"/>
      <c r="D73" s="1548"/>
      <c r="E73" s="129"/>
      <c r="F73" s="1569"/>
      <c r="G73" s="1494"/>
      <c r="H73" s="129"/>
      <c r="I73" s="129"/>
      <c r="J73" s="129"/>
      <c r="K73" s="129"/>
      <c r="L73" s="1614"/>
      <c r="M73" s="1623"/>
      <c r="N73" s="1497"/>
      <c r="O73" s="129"/>
      <c r="P73" s="1677"/>
      <c r="Q73" s="129"/>
      <c r="R73" s="1497"/>
      <c r="S73" s="129"/>
      <c r="T73" s="1497"/>
      <c r="U73" s="129"/>
      <c r="V73" s="1497"/>
      <c r="W73" s="129"/>
      <c r="X73" s="1497"/>
      <c r="Y73" s="129"/>
      <c r="Z73" s="1497"/>
      <c r="AA73" s="129"/>
      <c r="AB73" s="1497"/>
      <c r="AC73" s="129"/>
      <c r="AD73" s="1497"/>
      <c r="AE73" s="129"/>
      <c r="AF73" s="1497"/>
      <c r="AG73" s="129"/>
      <c r="AH73" s="1497"/>
      <c r="AI73" s="129"/>
      <c r="AJ73" s="1497"/>
      <c r="AK73" s="129"/>
      <c r="AL73" s="1497"/>
      <c r="AM73" s="129"/>
      <c r="AN73" s="1497"/>
      <c r="AO73" s="129"/>
    </row>
    <row r="74" spans="1:41">
      <c r="A74" s="1495"/>
      <c r="B74" s="1514"/>
      <c r="C74" s="1529"/>
      <c r="D74" s="1548"/>
      <c r="E74" s="129" t="s">
        <v>346</v>
      </c>
      <c r="F74" s="1570"/>
      <c r="G74" s="1495"/>
      <c r="H74" s="129"/>
      <c r="I74" s="129"/>
      <c r="J74" s="129"/>
      <c r="K74" s="129"/>
      <c r="L74" s="1615"/>
      <c r="M74" s="1624"/>
      <c r="N74" s="1497"/>
      <c r="O74" s="129"/>
      <c r="P74" s="1678"/>
      <c r="Q74" s="129"/>
      <c r="R74" s="1497"/>
      <c r="S74" s="129"/>
      <c r="T74" s="1497"/>
      <c r="U74" s="129"/>
      <c r="V74" s="1497"/>
      <c r="W74" s="129"/>
      <c r="X74" s="1497"/>
      <c r="Y74" s="129"/>
      <c r="Z74" s="1497"/>
      <c r="AA74" s="129"/>
      <c r="AB74" s="1497"/>
      <c r="AC74" s="129"/>
      <c r="AD74" s="1497"/>
      <c r="AE74" s="129"/>
      <c r="AF74" s="1497"/>
      <c r="AG74" s="129"/>
      <c r="AH74" s="1497"/>
      <c r="AI74" s="129"/>
      <c r="AJ74" s="1497"/>
      <c r="AK74" s="129"/>
      <c r="AL74" s="1497"/>
      <c r="AM74" s="129"/>
      <c r="AN74" s="1497"/>
      <c r="AO74" s="129"/>
    </row>
    <row r="75" spans="1:41">
      <c r="A75" s="1493">
        <v>19</v>
      </c>
      <c r="B75" s="1512" t="s">
        <v>347</v>
      </c>
      <c r="C75" s="1527">
        <v>145340</v>
      </c>
      <c r="D75" s="1547" t="s">
        <v>251</v>
      </c>
      <c r="E75" s="129" t="s">
        <v>342</v>
      </c>
      <c r="F75" s="1568">
        <f>C75/2</f>
        <v>72670</v>
      </c>
      <c r="G75" s="1592" t="s">
        <v>348</v>
      </c>
      <c r="H75" s="129"/>
      <c r="I75" s="129"/>
      <c r="J75" s="129"/>
      <c r="K75" s="129"/>
      <c r="L75" s="1613">
        <f>F75</f>
        <v>72670</v>
      </c>
      <c r="M75" s="1592" t="s">
        <v>344</v>
      </c>
      <c r="N75" s="1497"/>
      <c r="O75" s="129"/>
      <c r="P75" s="1497"/>
      <c r="Q75" s="129"/>
      <c r="R75" s="1497"/>
      <c r="S75" s="129"/>
      <c r="T75" s="1497"/>
      <c r="U75" s="129"/>
      <c r="V75" s="1497"/>
      <c r="W75" s="129"/>
      <c r="X75" s="1497"/>
      <c r="Y75" s="129"/>
      <c r="Z75" s="1497"/>
      <c r="AA75" s="129"/>
      <c r="AB75" s="1497"/>
      <c r="AC75" s="129"/>
      <c r="AD75" s="1497"/>
      <c r="AE75" s="129"/>
      <c r="AF75" s="1497"/>
      <c r="AG75" s="129"/>
      <c r="AH75" s="1497"/>
      <c r="AI75" s="129"/>
      <c r="AJ75" s="1497"/>
      <c r="AK75" s="129"/>
      <c r="AL75" s="1497"/>
      <c r="AM75" s="129"/>
      <c r="AN75" s="1497"/>
      <c r="AO75" s="129"/>
    </row>
    <row r="76" spans="1:41">
      <c r="A76" s="1494"/>
      <c r="B76" s="1513"/>
      <c r="C76" s="1528"/>
      <c r="D76" s="1548"/>
      <c r="E76" s="129" t="s">
        <v>345</v>
      </c>
      <c r="F76" s="1569"/>
      <c r="G76" s="1494"/>
      <c r="H76" s="129"/>
      <c r="I76" s="129"/>
      <c r="J76" s="129"/>
      <c r="K76" s="129"/>
      <c r="L76" s="1614"/>
      <c r="M76" s="1623"/>
      <c r="N76" s="1497"/>
      <c r="O76" s="129"/>
      <c r="P76" s="1497"/>
      <c r="Q76" s="129"/>
      <c r="R76" s="1497"/>
      <c r="S76" s="129"/>
      <c r="T76" s="1497"/>
      <c r="U76" s="129"/>
      <c r="V76" s="1497"/>
      <c r="W76" s="129"/>
      <c r="X76" s="1497"/>
      <c r="Y76" s="129"/>
      <c r="Z76" s="1497"/>
      <c r="AA76" s="129"/>
      <c r="AB76" s="1497"/>
      <c r="AC76" s="129"/>
      <c r="AD76" s="1497"/>
      <c r="AE76" s="129"/>
      <c r="AF76" s="1497"/>
      <c r="AG76" s="129"/>
      <c r="AH76" s="1497"/>
      <c r="AI76" s="129"/>
      <c r="AJ76" s="1497"/>
      <c r="AK76" s="129"/>
      <c r="AL76" s="1497"/>
      <c r="AM76" s="129"/>
      <c r="AN76" s="1497"/>
      <c r="AO76" s="129"/>
    </row>
    <row r="77" spans="1:41">
      <c r="A77" s="1494"/>
      <c r="B77" s="1513"/>
      <c r="C77" s="1528"/>
      <c r="D77" s="1548"/>
      <c r="E77" s="129"/>
      <c r="F77" s="1569"/>
      <c r="G77" s="1494"/>
      <c r="H77" s="129"/>
      <c r="I77" s="129"/>
      <c r="J77" s="129"/>
      <c r="K77" s="129"/>
      <c r="L77" s="1614"/>
      <c r="M77" s="1623"/>
      <c r="N77" s="1497"/>
      <c r="O77" s="129"/>
      <c r="P77" s="1497"/>
      <c r="Q77" s="129"/>
      <c r="R77" s="1497"/>
      <c r="S77" s="129"/>
      <c r="T77" s="1497"/>
      <c r="U77" s="129"/>
      <c r="V77" s="1497"/>
      <c r="W77" s="129"/>
      <c r="X77" s="1497"/>
      <c r="Y77" s="129"/>
      <c r="Z77" s="1497"/>
      <c r="AA77" s="129"/>
      <c r="AB77" s="1497"/>
      <c r="AC77" s="129"/>
      <c r="AD77" s="1497"/>
      <c r="AE77" s="129"/>
      <c r="AF77" s="1497"/>
      <c r="AG77" s="129"/>
      <c r="AH77" s="1497"/>
      <c r="AI77" s="129"/>
      <c r="AJ77" s="1497"/>
      <c r="AK77" s="129"/>
      <c r="AL77" s="1497"/>
      <c r="AM77" s="129"/>
      <c r="AN77" s="1497"/>
      <c r="AO77" s="129"/>
    </row>
    <row r="78" spans="1:41">
      <c r="A78" s="1495"/>
      <c r="B78" s="1514"/>
      <c r="C78" s="1529"/>
      <c r="D78" s="1548"/>
      <c r="E78" s="129" t="s">
        <v>346</v>
      </c>
      <c r="F78" s="1570"/>
      <c r="G78" s="1495"/>
      <c r="H78" s="129"/>
      <c r="I78" s="129"/>
      <c r="J78" s="129"/>
      <c r="K78" s="129"/>
      <c r="L78" s="1615"/>
      <c r="M78" s="1624"/>
      <c r="N78" s="1497"/>
      <c r="O78" s="129"/>
      <c r="P78" s="1497"/>
      <c r="Q78" s="129"/>
      <c r="R78" s="1497"/>
      <c r="S78" s="129"/>
      <c r="T78" s="1497"/>
      <c r="U78" s="129"/>
      <c r="V78" s="1497"/>
      <c r="W78" s="129"/>
      <c r="X78" s="1497"/>
      <c r="Y78" s="129"/>
      <c r="Z78" s="1497"/>
      <c r="AA78" s="129"/>
      <c r="AB78" s="1497"/>
      <c r="AC78" s="129"/>
      <c r="AD78" s="1497"/>
      <c r="AE78" s="129"/>
      <c r="AF78" s="1497"/>
      <c r="AG78" s="129"/>
      <c r="AH78" s="1497"/>
      <c r="AI78" s="129"/>
      <c r="AJ78" s="1497"/>
      <c r="AK78" s="129"/>
      <c r="AL78" s="1497"/>
      <c r="AM78" s="129"/>
      <c r="AN78" s="1497"/>
      <c r="AO78" s="129"/>
    </row>
    <row r="79" spans="1:41">
      <c r="A79" s="1493">
        <v>20</v>
      </c>
      <c r="B79" s="1512" t="s">
        <v>349</v>
      </c>
      <c r="C79" s="1527">
        <v>50353</v>
      </c>
      <c r="D79" s="1547" t="s">
        <v>251</v>
      </c>
      <c r="E79" s="129" t="s">
        <v>342</v>
      </c>
      <c r="F79" s="1568">
        <f>C79/2</f>
        <v>25176.5</v>
      </c>
      <c r="G79" s="1592" t="s">
        <v>350</v>
      </c>
      <c r="H79" s="129"/>
      <c r="I79" s="129"/>
      <c r="J79" s="129"/>
      <c r="K79" s="129"/>
      <c r="L79" s="1613">
        <f>F79</f>
        <v>25176.5</v>
      </c>
      <c r="M79" s="1592" t="s">
        <v>344</v>
      </c>
      <c r="N79" s="1497"/>
      <c r="O79" s="129"/>
      <c r="P79" s="1497"/>
      <c r="Q79" s="129"/>
      <c r="R79" s="1497"/>
      <c r="S79" s="129"/>
      <c r="T79" s="1497"/>
      <c r="U79" s="129"/>
      <c r="V79" s="1497"/>
      <c r="W79" s="129"/>
      <c r="X79" s="1497"/>
      <c r="Y79" s="129"/>
      <c r="Z79" s="1497"/>
      <c r="AA79" s="129"/>
      <c r="AB79" s="1497"/>
      <c r="AC79" s="129"/>
      <c r="AD79" s="1497"/>
      <c r="AE79" s="129"/>
      <c r="AF79" s="1497"/>
      <c r="AG79" s="129"/>
      <c r="AH79" s="1497"/>
      <c r="AI79" s="129"/>
      <c r="AJ79" s="1497"/>
      <c r="AK79" s="129"/>
      <c r="AL79" s="1497"/>
      <c r="AM79" s="129"/>
      <c r="AN79" s="1497"/>
      <c r="AO79" s="129"/>
    </row>
    <row r="80" spans="1:41">
      <c r="A80" s="1494"/>
      <c r="B80" s="1513"/>
      <c r="C80" s="1528"/>
      <c r="D80" s="1548"/>
      <c r="E80" s="129" t="s">
        <v>345</v>
      </c>
      <c r="F80" s="1569"/>
      <c r="G80" s="1494"/>
      <c r="H80" s="129"/>
      <c r="I80" s="129"/>
      <c r="J80" s="129"/>
      <c r="K80" s="129"/>
      <c r="L80" s="1614"/>
      <c r="M80" s="1623"/>
      <c r="N80" s="1497"/>
      <c r="O80" s="129"/>
      <c r="P80" s="1497"/>
      <c r="Q80" s="129"/>
      <c r="R80" s="1497"/>
      <c r="S80" s="129"/>
      <c r="T80" s="1497"/>
      <c r="U80" s="129"/>
      <c r="V80" s="1497"/>
      <c r="W80" s="129"/>
      <c r="X80" s="1497"/>
      <c r="Y80" s="129"/>
      <c r="Z80" s="1497"/>
      <c r="AA80" s="129"/>
      <c r="AB80" s="1497"/>
      <c r="AC80" s="129"/>
      <c r="AD80" s="1497"/>
      <c r="AE80" s="129"/>
      <c r="AF80" s="1497"/>
      <c r="AG80" s="129"/>
      <c r="AH80" s="1497"/>
      <c r="AI80" s="129"/>
      <c r="AJ80" s="1497"/>
      <c r="AK80" s="129"/>
      <c r="AL80" s="1497"/>
      <c r="AM80" s="129"/>
      <c r="AN80" s="1497"/>
      <c r="AO80" s="129"/>
    </row>
    <row r="81" spans="1:41">
      <c r="A81" s="1494"/>
      <c r="B81" s="1513"/>
      <c r="C81" s="1528"/>
      <c r="D81" s="1548"/>
      <c r="E81" s="129"/>
      <c r="F81" s="1569"/>
      <c r="G81" s="1494"/>
      <c r="H81" s="129"/>
      <c r="I81" s="129"/>
      <c r="J81" s="129"/>
      <c r="K81" s="129"/>
      <c r="L81" s="1614"/>
      <c r="M81" s="1623"/>
      <c r="N81" s="1497"/>
      <c r="O81" s="129"/>
      <c r="P81" s="1497"/>
      <c r="Q81" s="129"/>
      <c r="R81" s="1497"/>
      <c r="S81" s="129"/>
      <c r="T81" s="1497"/>
      <c r="U81" s="129"/>
      <c r="V81" s="1497"/>
      <c r="W81" s="129"/>
      <c r="X81" s="1497"/>
      <c r="Y81" s="129"/>
      <c r="Z81" s="1497"/>
      <c r="AA81" s="129"/>
      <c r="AB81" s="1497"/>
      <c r="AC81" s="129"/>
      <c r="AD81" s="1497"/>
      <c r="AE81" s="129"/>
      <c r="AF81" s="1497"/>
      <c r="AG81" s="129"/>
      <c r="AH81" s="1497"/>
      <c r="AI81" s="129"/>
      <c r="AJ81" s="1497"/>
      <c r="AK81" s="129"/>
      <c r="AL81" s="1497"/>
      <c r="AM81" s="129"/>
      <c r="AN81" s="1497"/>
      <c r="AO81" s="129"/>
    </row>
    <row r="82" spans="1:41">
      <c r="A82" s="1495"/>
      <c r="B82" s="1514"/>
      <c r="C82" s="1529"/>
      <c r="D82" s="1548"/>
      <c r="E82" s="129" t="s">
        <v>346</v>
      </c>
      <c r="F82" s="1570"/>
      <c r="G82" s="1495"/>
      <c r="H82" s="129"/>
      <c r="I82" s="129"/>
      <c r="J82" s="129"/>
      <c r="K82" s="129"/>
      <c r="L82" s="1615"/>
      <c r="M82" s="1624"/>
      <c r="N82" s="1497"/>
      <c r="O82" s="129"/>
      <c r="P82" s="1497"/>
      <c r="Q82" s="129"/>
      <c r="R82" s="1497"/>
      <c r="S82" s="129"/>
      <c r="T82" s="1497"/>
      <c r="U82" s="129"/>
      <c r="V82" s="1497"/>
      <c r="W82" s="129"/>
      <c r="X82" s="1497"/>
      <c r="Y82" s="129"/>
      <c r="Z82" s="1497"/>
      <c r="AA82" s="129"/>
      <c r="AB82" s="1497"/>
      <c r="AC82" s="129"/>
      <c r="AD82" s="1497"/>
      <c r="AE82" s="129"/>
      <c r="AF82" s="1497"/>
      <c r="AG82" s="129"/>
      <c r="AH82" s="1497"/>
      <c r="AI82" s="129"/>
      <c r="AJ82" s="1497"/>
      <c r="AK82" s="129"/>
      <c r="AL82" s="1497"/>
      <c r="AM82" s="129"/>
      <c r="AN82" s="1497"/>
      <c r="AO82" s="129"/>
    </row>
    <row r="83" spans="1:41">
      <c r="A83" s="1493">
        <v>21</v>
      </c>
      <c r="B83" s="1512" t="s">
        <v>351</v>
      </c>
      <c r="C83" s="1527">
        <v>45907</v>
      </c>
      <c r="D83" s="1547" t="s">
        <v>251</v>
      </c>
      <c r="E83" s="129" t="s">
        <v>342</v>
      </c>
      <c r="F83" s="1568">
        <f>C83/2</f>
        <v>22953.5</v>
      </c>
      <c r="G83" s="1592" t="s">
        <v>352</v>
      </c>
      <c r="H83" s="129"/>
      <c r="I83" s="129"/>
      <c r="J83" s="129"/>
      <c r="K83" s="129"/>
      <c r="L83" s="1613">
        <f>F83</f>
        <v>22953.5</v>
      </c>
      <c r="M83" s="1592" t="s">
        <v>344</v>
      </c>
      <c r="N83" s="1497"/>
      <c r="O83" s="129"/>
      <c r="P83" s="1497"/>
      <c r="Q83" s="129"/>
      <c r="R83" s="1497"/>
      <c r="S83" s="129"/>
      <c r="T83" s="1497"/>
      <c r="U83" s="129"/>
      <c r="V83" s="1497"/>
      <c r="W83" s="129"/>
      <c r="X83" s="1497"/>
      <c r="Y83" s="129"/>
      <c r="Z83" s="1497"/>
      <c r="AA83" s="129"/>
      <c r="AB83" s="1497"/>
      <c r="AC83" s="129"/>
      <c r="AD83" s="1497"/>
      <c r="AE83" s="129"/>
      <c r="AF83" s="1497"/>
      <c r="AG83" s="129"/>
      <c r="AH83" s="1497"/>
      <c r="AI83" s="129"/>
      <c r="AJ83" s="1497"/>
      <c r="AK83" s="129"/>
      <c r="AL83" s="1497"/>
      <c r="AM83" s="129"/>
      <c r="AN83" s="1497"/>
      <c r="AO83" s="129"/>
    </row>
    <row r="84" spans="1:41">
      <c r="A84" s="1494"/>
      <c r="B84" s="1513"/>
      <c r="C84" s="1528"/>
      <c r="D84" s="1548"/>
      <c r="E84" s="129" t="s">
        <v>345</v>
      </c>
      <c r="F84" s="1569"/>
      <c r="G84" s="1494"/>
      <c r="H84" s="129"/>
      <c r="I84" s="129"/>
      <c r="J84" s="129"/>
      <c r="K84" s="129"/>
      <c r="L84" s="1614"/>
      <c r="M84" s="1623"/>
      <c r="N84" s="1497"/>
      <c r="O84" s="129"/>
      <c r="P84" s="1497"/>
      <c r="Q84" s="129"/>
      <c r="R84" s="1497"/>
      <c r="S84" s="129"/>
      <c r="T84" s="1497"/>
      <c r="U84" s="129"/>
      <c r="V84" s="1497"/>
      <c r="W84" s="129"/>
      <c r="X84" s="1497"/>
      <c r="Y84" s="129"/>
      <c r="Z84" s="1497"/>
      <c r="AA84" s="129"/>
      <c r="AB84" s="1497"/>
      <c r="AC84" s="129"/>
      <c r="AD84" s="1497"/>
      <c r="AE84" s="129"/>
      <c r="AF84" s="1497"/>
      <c r="AG84" s="129"/>
      <c r="AH84" s="1497"/>
      <c r="AI84" s="129"/>
      <c r="AJ84" s="1497"/>
      <c r="AK84" s="129"/>
      <c r="AL84" s="1497"/>
      <c r="AM84" s="129"/>
      <c r="AN84" s="1497"/>
      <c r="AO84" s="129"/>
    </row>
    <row r="85" spans="1:41">
      <c r="A85" s="1494"/>
      <c r="B85" s="1513"/>
      <c r="C85" s="1528"/>
      <c r="D85" s="1548"/>
      <c r="E85" s="129"/>
      <c r="F85" s="1569"/>
      <c r="G85" s="1494"/>
      <c r="H85" s="129"/>
      <c r="I85" s="129"/>
      <c r="J85" s="129"/>
      <c r="K85" s="129"/>
      <c r="L85" s="1614"/>
      <c r="M85" s="1623"/>
      <c r="N85" s="1497"/>
      <c r="O85" s="129"/>
      <c r="P85" s="1497"/>
      <c r="Q85" s="129"/>
      <c r="R85" s="1497"/>
      <c r="S85" s="129"/>
      <c r="T85" s="1497"/>
      <c r="U85" s="129"/>
      <c r="V85" s="1497"/>
      <c r="W85" s="129"/>
      <c r="X85" s="1497"/>
      <c r="Y85" s="129"/>
      <c r="Z85" s="1497"/>
      <c r="AA85" s="129"/>
      <c r="AB85" s="1497"/>
      <c r="AC85" s="129"/>
      <c r="AD85" s="1497"/>
      <c r="AE85" s="129"/>
      <c r="AF85" s="1497"/>
      <c r="AG85" s="129"/>
      <c r="AH85" s="1497"/>
      <c r="AI85" s="129"/>
      <c r="AJ85" s="1497"/>
      <c r="AK85" s="129"/>
      <c r="AL85" s="1497"/>
      <c r="AM85" s="129"/>
      <c r="AN85" s="1497"/>
      <c r="AO85" s="129"/>
    </row>
    <row r="86" spans="1:41">
      <c r="A86" s="1495"/>
      <c r="B86" s="1514"/>
      <c r="C86" s="1529"/>
      <c r="D86" s="1548"/>
      <c r="E86" s="129" t="s">
        <v>346</v>
      </c>
      <c r="F86" s="1570"/>
      <c r="G86" s="1495"/>
      <c r="H86" s="152"/>
      <c r="I86" s="129"/>
      <c r="J86" s="129"/>
      <c r="K86" s="129"/>
      <c r="L86" s="1615"/>
      <c r="M86" s="1624"/>
      <c r="N86" s="1497"/>
      <c r="O86" s="129"/>
      <c r="P86" s="1497"/>
      <c r="Q86" s="129"/>
      <c r="R86" s="1497"/>
      <c r="S86" s="129"/>
      <c r="T86" s="1497"/>
      <c r="U86" s="129"/>
      <c r="V86" s="1497"/>
      <c r="W86" s="129"/>
      <c r="X86" s="1497"/>
      <c r="Y86" s="129"/>
      <c r="Z86" s="1497"/>
      <c r="AA86" s="129"/>
      <c r="AB86" s="1497"/>
      <c r="AC86" s="129"/>
      <c r="AD86" s="1497"/>
      <c r="AE86" s="129"/>
      <c r="AF86" s="1497"/>
      <c r="AG86" s="129"/>
      <c r="AH86" s="1497"/>
      <c r="AI86" s="129"/>
      <c r="AJ86" s="1497"/>
      <c r="AK86" s="129"/>
      <c r="AL86" s="1497"/>
      <c r="AM86" s="129"/>
      <c r="AN86" s="1497"/>
      <c r="AO86" s="129"/>
    </row>
    <row r="87" spans="1:41">
      <c r="A87" s="1493">
        <v>22</v>
      </c>
      <c r="B87" s="1512" t="s">
        <v>353</v>
      </c>
      <c r="C87" s="1526">
        <v>109424</v>
      </c>
      <c r="D87" s="1547" t="s">
        <v>354</v>
      </c>
      <c r="E87" s="129" t="s">
        <v>355</v>
      </c>
      <c r="F87" s="1571">
        <f>C87/2</f>
        <v>54712</v>
      </c>
      <c r="G87" s="1593" t="s">
        <v>356</v>
      </c>
      <c r="H87" s="1604">
        <f>F87</f>
        <v>54712</v>
      </c>
      <c r="I87" s="1620" t="s">
        <v>357</v>
      </c>
      <c r="J87" s="1497"/>
      <c r="K87" s="129"/>
      <c r="L87" s="1497"/>
      <c r="M87" s="129"/>
      <c r="N87" s="1497"/>
      <c r="O87" s="129"/>
      <c r="P87" s="129"/>
      <c r="Q87" s="1684" t="s">
        <v>358</v>
      </c>
      <c r="R87" s="1497"/>
      <c r="S87" s="129"/>
      <c r="T87" s="1497"/>
      <c r="U87" s="129"/>
      <c r="V87" s="1497"/>
      <c r="W87" s="129"/>
      <c r="X87" s="1497"/>
      <c r="Y87" s="129"/>
      <c r="Z87" s="1497"/>
      <c r="AA87" s="129"/>
      <c r="AB87" s="1497"/>
      <c r="AC87" s="129"/>
      <c r="AD87" s="1497"/>
      <c r="AE87" s="129"/>
      <c r="AF87" s="1497"/>
      <c r="AG87" s="129"/>
      <c r="AH87" s="1497"/>
      <c r="AI87" s="129"/>
      <c r="AJ87" s="1497"/>
      <c r="AK87" s="129"/>
      <c r="AL87" s="1497"/>
      <c r="AM87" s="129"/>
      <c r="AN87" s="1497"/>
      <c r="AO87" s="129"/>
    </row>
    <row r="88" spans="1:41">
      <c r="A88" s="1494"/>
      <c r="B88" s="1513"/>
      <c r="C88" s="1526"/>
      <c r="D88" s="1547"/>
      <c r="E88" s="129" t="s">
        <v>320</v>
      </c>
      <c r="F88" s="1572"/>
      <c r="G88" s="1594"/>
      <c r="H88" s="1604"/>
      <c r="I88" s="1621"/>
      <c r="J88" s="1497"/>
      <c r="K88" s="129"/>
      <c r="L88" s="1497"/>
      <c r="M88" s="129"/>
      <c r="N88" s="1497"/>
      <c r="O88" s="129"/>
      <c r="P88" s="161"/>
      <c r="Q88" s="1685"/>
      <c r="R88" s="1497"/>
      <c r="S88" s="129"/>
      <c r="T88" s="1497"/>
      <c r="U88" s="129"/>
      <c r="V88" s="1497"/>
      <c r="W88" s="129"/>
      <c r="X88" s="1497"/>
      <c r="Y88" s="129"/>
      <c r="Z88" s="1497"/>
      <c r="AA88" s="129"/>
      <c r="AB88" s="1497"/>
      <c r="AC88" s="129"/>
      <c r="AD88" s="1497"/>
      <c r="AE88" s="129"/>
      <c r="AF88" s="1497"/>
      <c r="AG88" s="129"/>
      <c r="AH88" s="1497"/>
      <c r="AI88" s="129"/>
      <c r="AJ88" s="1497"/>
      <c r="AK88" s="129"/>
      <c r="AL88" s="1497"/>
      <c r="AM88" s="129"/>
      <c r="AN88" s="1497"/>
      <c r="AO88" s="129"/>
    </row>
    <row r="89" spans="1:41">
      <c r="A89" s="1494"/>
      <c r="B89" s="1513"/>
      <c r="C89" s="1526"/>
      <c r="D89" s="1547"/>
      <c r="E89" s="129"/>
      <c r="F89" s="1572"/>
      <c r="G89" s="1594"/>
      <c r="H89" s="1604"/>
      <c r="I89" s="1621"/>
      <c r="J89" s="1497"/>
      <c r="K89" s="129"/>
      <c r="L89" s="1497"/>
      <c r="M89" s="129"/>
      <c r="N89" s="1497"/>
      <c r="O89" s="129"/>
      <c r="P89" s="129"/>
      <c r="Q89" s="1685"/>
      <c r="R89" s="1497"/>
      <c r="S89" s="129"/>
      <c r="T89" s="1497"/>
      <c r="U89" s="129"/>
      <c r="V89" s="1497"/>
      <c r="W89" s="129"/>
      <c r="X89" s="1497"/>
      <c r="Y89" s="129"/>
      <c r="Z89" s="1497"/>
      <c r="AA89" s="129"/>
      <c r="AB89" s="1497"/>
      <c r="AC89" s="129"/>
      <c r="AD89" s="1497"/>
      <c r="AE89" s="129"/>
      <c r="AF89" s="1497"/>
      <c r="AG89" s="129"/>
      <c r="AH89" s="1497"/>
      <c r="AI89" s="129"/>
      <c r="AJ89" s="1497"/>
      <c r="AK89" s="129"/>
      <c r="AL89" s="1497"/>
      <c r="AM89" s="129"/>
      <c r="AN89" s="1497"/>
      <c r="AO89" s="129"/>
    </row>
    <row r="90" spans="1:41">
      <c r="A90" s="1495"/>
      <c r="B90" s="1514"/>
      <c r="C90" s="1526"/>
      <c r="D90" s="1547"/>
      <c r="E90" s="129" t="s">
        <v>346</v>
      </c>
      <c r="F90" s="1573"/>
      <c r="G90" s="1595"/>
      <c r="H90" s="1604"/>
      <c r="I90" s="1622"/>
      <c r="J90" s="1497"/>
      <c r="K90" s="129"/>
      <c r="L90" s="1497"/>
      <c r="M90" s="129"/>
      <c r="N90" s="1497"/>
      <c r="O90" s="129"/>
      <c r="P90" s="129"/>
      <c r="Q90" s="1686"/>
      <c r="R90" s="1497"/>
      <c r="S90" s="129"/>
      <c r="T90" s="1497"/>
      <c r="U90" s="129"/>
      <c r="V90" s="1497"/>
      <c r="W90" s="129"/>
      <c r="X90" s="1497"/>
      <c r="Y90" s="129"/>
      <c r="Z90" s="1497"/>
      <c r="AA90" s="129"/>
      <c r="AB90" s="1497"/>
      <c r="AC90" s="129"/>
      <c r="AD90" s="1497"/>
      <c r="AE90" s="129"/>
      <c r="AF90" s="1497"/>
      <c r="AG90" s="129"/>
      <c r="AH90" s="1497"/>
      <c r="AI90" s="129"/>
      <c r="AJ90" s="1497"/>
      <c r="AK90" s="129"/>
      <c r="AL90" s="1497"/>
      <c r="AM90" s="129"/>
      <c r="AN90" s="1497"/>
      <c r="AO90" s="129"/>
    </row>
    <row r="91" spans="1:41">
      <c r="A91" s="1493">
        <v>23</v>
      </c>
      <c r="B91" s="1512" t="s">
        <v>359</v>
      </c>
      <c r="C91" s="1526">
        <v>74000</v>
      </c>
      <c r="D91" s="1547" t="s">
        <v>360</v>
      </c>
      <c r="E91" s="129" t="s">
        <v>361</v>
      </c>
      <c r="F91" s="1571">
        <v>74000</v>
      </c>
      <c r="G91" s="1596"/>
      <c r="H91" s="1605">
        <f>C91</f>
        <v>74000</v>
      </c>
      <c r="I91" s="1592" t="s">
        <v>362</v>
      </c>
      <c r="J91" s="1497"/>
      <c r="K91" s="1596"/>
      <c r="L91" s="1641"/>
      <c r="M91" s="1649"/>
      <c r="N91" s="1497"/>
      <c r="O91" s="129"/>
      <c r="P91" s="1497"/>
      <c r="Q91" s="129"/>
      <c r="R91" s="1497"/>
      <c r="S91" s="129"/>
      <c r="T91" s="1497"/>
      <c r="U91" s="129"/>
      <c r="V91" s="1497"/>
      <c r="W91" s="129"/>
      <c r="X91" s="1497"/>
      <c r="Y91" s="129"/>
      <c r="Z91" s="1497"/>
      <c r="AA91" s="129"/>
      <c r="AB91" s="1497"/>
      <c r="AC91" s="129"/>
      <c r="AD91" s="1497"/>
      <c r="AE91" s="129"/>
      <c r="AF91" s="1497"/>
      <c r="AG91" s="129"/>
      <c r="AH91" s="1497"/>
      <c r="AI91" s="129"/>
      <c r="AJ91" s="1497"/>
      <c r="AK91" s="129"/>
      <c r="AL91" s="1497"/>
      <c r="AM91" s="129"/>
      <c r="AN91" s="1497"/>
      <c r="AO91" s="129"/>
    </row>
    <row r="92" spans="1:41">
      <c r="A92" s="1494"/>
      <c r="B92" s="1513"/>
      <c r="C92" s="1526"/>
      <c r="D92" s="1547"/>
      <c r="E92" s="129" t="s">
        <v>363</v>
      </c>
      <c r="F92" s="1572"/>
      <c r="G92" s="1590"/>
      <c r="H92" s="1606"/>
      <c r="I92" s="1494"/>
      <c r="J92" s="1497"/>
      <c r="K92" s="1590"/>
      <c r="L92" s="1641"/>
      <c r="M92" s="1650"/>
      <c r="N92" s="1497"/>
      <c r="O92" s="129"/>
      <c r="P92" s="1497"/>
      <c r="Q92" s="129"/>
      <c r="R92" s="1497"/>
      <c r="S92" s="129"/>
      <c r="T92" s="1497"/>
      <c r="U92" s="129"/>
      <c r="V92" s="1497"/>
      <c r="W92" s="129"/>
      <c r="X92" s="1497"/>
      <c r="Y92" s="129"/>
      <c r="Z92" s="1497"/>
      <c r="AA92" s="129"/>
      <c r="AB92" s="1497"/>
      <c r="AC92" s="129"/>
      <c r="AD92" s="1497"/>
      <c r="AE92" s="129"/>
      <c r="AF92" s="1497"/>
      <c r="AG92" s="129"/>
      <c r="AH92" s="1497"/>
      <c r="AI92" s="129"/>
      <c r="AJ92" s="1497"/>
      <c r="AK92" s="129"/>
      <c r="AL92" s="1497"/>
      <c r="AM92" s="129"/>
      <c r="AN92" s="1497"/>
      <c r="AO92" s="129"/>
    </row>
    <row r="93" spans="1:41">
      <c r="A93" s="1494"/>
      <c r="B93" s="1513"/>
      <c r="C93" s="1526"/>
      <c r="D93" s="1547"/>
      <c r="E93" s="129"/>
      <c r="F93" s="1572"/>
      <c r="G93" s="1590"/>
      <c r="H93" s="1606"/>
      <c r="I93" s="1494"/>
      <c r="J93" s="1497"/>
      <c r="K93" s="1590"/>
      <c r="L93" s="1641"/>
      <c r="M93" s="1650"/>
      <c r="N93" s="1497"/>
      <c r="O93" s="129"/>
      <c r="P93" s="1497"/>
      <c r="Q93" s="129"/>
      <c r="R93" s="1497"/>
      <c r="S93" s="129"/>
      <c r="T93" s="1497"/>
      <c r="U93" s="129"/>
      <c r="V93" s="1497"/>
      <c r="W93" s="129"/>
      <c r="X93" s="1497"/>
      <c r="Y93" s="129"/>
      <c r="Z93" s="1497"/>
      <c r="AA93" s="129"/>
      <c r="AB93" s="1497"/>
      <c r="AC93" s="129"/>
      <c r="AD93" s="1497"/>
      <c r="AE93" s="129"/>
      <c r="AF93" s="1497"/>
      <c r="AG93" s="129"/>
      <c r="AH93" s="1497"/>
      <c r="AI93" s="129"/>
      <c r="AJ93" s="1497"/>
      <c r="AK93" s="129"/>
      <c r="AL93" s="1497"/>
      <c r="AM93" s="129"/>
      <c r="AN93" s="1497"/>
      <c r="AO93" s="129"/>
    </row>
    <row r="94" spans="1:41">
      <c r="A94" s="1495"/>
      <c r="B94" s="1514"/>
      <c r="C94" s="1526"/>
      <c r="D94" s="1547"/>
      <c r="E94" s="129" t="s">
        <v>256</v>
      </c>
      <c r="F94" s="1573"/>
      <c r="G94" s="1591"/>
      <c r="H94" s="1606"/>
      <c r="I94" s="1495"/>
      <c r="J94" s="1497"/>
      <c r="K94" s="1591"/>
      <c r="L94" s="1641"/>
      <c r="M94" s="1651"/>
      <c r="N94" s="1497"/>
      <c r="O94" s="129"/>
      <c r="P94" s="1497"/>
      <c r="Q94" s="129"/>
      <c r="R94" s="1497"/>
      <c r="S94" s="129"/>
      <c r="T94" s="1497"/>
      <c r="U94" s="129"/>
      <c r="V94" s="1497"/>
      <c r="W94" s="129"/>
      <c r="X94" s="1497"/>
      <c r="Y94" s="129"/>
      <c r="Z94" s="1497"/>
      <c r="AA94" s="129"/>
      <c r="AB94" s="1497"/>
      <c r="AC94" s="129"/>
      <c r="AD94" s="1497"/>
      <c r="AE94" s="129"/>
      <c r="AF94" s="1497"/>
      <c r="AG94" s="129"/>
      <c r="AH94" s="1497"/>
      <c r="AI94" s="129"/>
      <c r="AJ94" s="1497"/>
      <c r="AK94" s="129"/>
      <c r="AL94" s="1497"/>
      <c r="AM94" s="129"/>
      <c r="AN94" s="1497"/>
      <c r="AO94" s="129"/>
    </row>
    <row r="95" spans="1:41">
      <c r="A95" s="1493">
        <v>24</v>
      </c>
      <c r="B95" s="1512" t="s">
        <v>364</v>
      </c>
      <c r="C95" s="1526">
        <v>382108</v>
      </c>
      <c r="D95" s="1547" t="s">
        <v>365</v>
      </c>
      <c r="E95" s="129" t="s">
        <v>366</v>
      </c>
      <c r="F95" s="1574"/>
      <c r="G95" s="129"/>
      <c r="H95" s="1607">
        <f>C95/2</f>
        <v>191054</v>
      </c>
      <c r="I95" s="1592" t="s">
        <v>367</v>
      </c>
      <c r="J95" s="1497"/>
      <c r="K95" s="143"/>
      <c r="L95" s="1497"/>
      <c r="M95" s="143"/>
      <c r="N95" s="1497"/>
      <c r="O95" s="143"/>
      <c r="P95" s="1497"/>
      <c r="Q95" s="143"/>
      <c r="R95" s="1693">
        <f>H95</f>
        <v>191054</v>
      </c>
      <c r="S95" s="1649" t="s">
        <v>368</v>
      </c>
      <c r="T95" s="1497"/>
      <c r="U95" s="129"/>
      <c r="V95" s="1497"/>
      <c r="W95" s="129"/>
      <c r="X95" s="1497"/>
      <c r="Y95" s="129"/>
      <c r="Z95" s="1497"/>
      <c r="AA95" s="129"/>
      <c r="AB95" s="1497"/>
      <c r="AC95" s="129"/>
      <c r="AD95" s="1497"/>
      <c r="AE95" s="129"/>
      <c r="AF95" s="1497"/>
      <c r="AG95" s="129"/>
      <c r="AH95" s="1497"/>
      <c r="AI95" s="129"/>
      <c r="AJ95" s="1497"/>
      <c r="AK95" s="129"/>
      <c r="AL95" s="1497"/>
      <c r="AM95" s="129"/>
      <c r="AN95" s="1497"/>
      <c r="AO95" s="129"/>
    </row>
    <row r="96" spans="1:41">
      <c r="A96" s="1494"/>
      <c r="B96" s="1513"/>
      <c r="C96" s="1526"/>
      <c r="D96" s="1547"/>
      <c r="E96" s="129" t="s">
        <v>248</v>
      </c>
      <c r="F96" s="1575"/>
      <c r="G96" s="129"/>
      <c r="H96" s="1607"/>
      <c r="I96" s="1494"/>
      <c r="J96" s="1497"/>
      <c r="K96" s="143"/>
      <c r="L96" s="1497"/>
      <c r="M96" s="143"/>
      <c r="N96" s="1497"/>
      <c r="O96" s="143"/>
      <c r="P96" s="1497"/>
      <c r="Q96" s="143"/>
      <c r="R96" s="1694"/>
      <c r="S96" s="1650"/>
      <c r="T96" s="1497"/>
      <c r="U96" s="129"/>
      <c r="V96" s="1497"/>
      <c r="W96" s="129"/>
      <c r="X96" s="1497"/>
      <c r="Y96" s="129"/>
      <c r="Z96" s="1497"/>
      <c r="AA96" s="129"/>
      <c r="AB96" s="1497"/>
      <c r="AC96" s="129"/>
      <c r="AD96" s="1497"/>
      <c r="AE96" s="129"/>
      <c r="AF96" s="1497"/>
      <c r="AG96" s="129"/>
      <c r="AH96" s="1497"/>
      <c r="AI96" s="129"/>
      <c r="AJ96" s="1497"/>
      <c r="AK96" s="129"/>
      <c r="AL96" s="1497"/>
      <c r="AM96" s="129"/>
      <c r="AN96" s="1497"/>
      <c r="AO96" s="129"/>
    </row>
    <row r="97" spans="1:41">
      <c r="A97" s="1494"/>
      <c r="B97" s="1513"/>
      <c r="C97" s="1526"/>
      <c r="D97" s="1547"/>
      <c r="E97" s="129"/>
      <c r="F97" s="1575"/>
      <c r="G97" s="129"/>
      <c r="H97" s="1607"/>
      <c r="I97" s="1494"/>
      <c r="J97" s="1497"/>
      <c r="K97" s="143"/>
      <c r="L97" s="1497"/>
      <c r="M97" s="143"/>
      <c r="N97" s="1497"/>
      <c r="O97" s="143"/>
      <c r="P97" s="1497"/>
      <c r="Q97" s="143"/>
      <c r="R97" s="1694"/>
      <c r="S97" s="1650"/>
      <c r="T97" s="1497"/>
      <c r="U97" s="129"/>
      <c r="V97" s="1497"/>
      <c r="W97" s="129"/>
      <c r="X97" s="1497"/>
      <c r="Y97" s="129"/>
      <c r="Z97" s="1497"/>
      <c r="AA97" s="129"/>
      <c r="AB97" s="1497"/>
      <c r="AC97" s="129"/>
      <c r="AD97" s="1497"/>
      <c r="AE97" s="129"/>
      <c r="AF97" s="1497"/>
      <c r="AG97" s="129"/>
      <c r="AH97" s="1497"/>
      <c r="AI97" s="129"/>
      <c r="AJ97" s="1497"/>
      <c r="AK97" s="129"/>
      <c r="AL97" s="1497"/>
      <c r="AM97" s="129"/>
      <c r="AN97" s="1497"/>
      <c r="AO97" s="129"/>
    </row>
    <row r="98" spans="1:41">
      <c r="A98" s="1495"/>
      <c r="B98" s="1514"/>
      <c r="C98" s="1526"/>
      <c r="D98" s="1547"/>
      <c r="E98" s="129" t="s">
        <v>369</v>
      </c>
      <c r="F98" s="1576"/>
      <c r="G98" s="129"/>
      <c r="H98" s="1607"/>
      <c r="I98" s="1495"/>
      <c r="J98" s="1497"/>
      <c r="K98" s="143"/>
      <c r="L98" s="1497"/>
      <c r="M98" s="143"/>
      <c r="N98" s="1497"/>
      <c r="O98" s="143"/>
      <c r="P98" s="1497"/>
      <c r="Q98" s="143"/>
      <c r="R98" s="1695"/>
      <c r="S98" s="1651"/>
      <c r="T98" s="1497"/>
      <c r="U98" s="129"/>
      <c r="V98" s="1497"/>
      <c r="W98" s="129"/>
      <c r="X98" s="1497"/>
      <c r="Y98" s="129"/>
      <c r="Z98" s="1497"/>
      <c r="AA98" s="129"/>
      <c r="AB98" s="1497"/>
      <c r="AC98" s="129"/>
      <c r="AD98" s="1497"/>
      <c r="AE98" s="129"/>
      <c r="AF98" s="1497"/>
      <c r="AG98" s="129"/>
      <c r="AH98" s="1497"/>
      <c r="AI98" s="129"/>
      <c r="AJ98" s="1497"/>
      <c r="AK98" s="129"/>
      <c r="AL98" s="1497"/>
      <c r="AM98" s="129"/>
      <c r="AN98" s="1497"/>
      <c r="AO98" s="129"/>
    </row>
    <row r="99" spans="1:41">
      <c r="A99" s="1493">
        <v>25</v>
      </c>
      <c r="B99" s="1512" t="s">
        <v>370</v>
      </c>
      <c r="C99" s="1526">
        <v>26014</v>
      </c>
      <c r="D99" s="1547" t="s">
        <v>371</v>
      </c>
      <c r="E99" s="129" t="s">
        <v>372</v>
      </c>
      <c r="F99" s="1568">
        <v>26014</v>
      </c>
      <c r="G99" s="129"/>
      <c r="H99" s="1607">
        <v>26014</v>
      </c>
      <c r="I99" s="1592" t="s">
        <v>373</v>
      </c>
      <c r="J99" s="1497"/>
      <c r="K99" s="129"/>
      <c r="L99" s="1497"/>
      <c r="M99" s="129"/>
      <c r="N99" s="1497"/>
      <c r="O99" s="129"/>
      <c r="P99" s="1497"/>
      <c r="Q99" s="129"/>
      <c r="R99" s="1497"/>
      <c r="S99" s="129"/>
      <c r="T99" s="1497"/>
      <c r="U99" s="129"/>
      <c r="V99" s="1497"/>
      <c r="W99" s="129"/>
      <c r="X99" s="1497"/>
      <c r="Y99" s="129"/>
      <c r="Z99" s="1497"/>
      <c r="AA99" s="129"/>
      <c r="AB99" s="1497"/>
      <c r="AC99" s="129"/>
      <c r="AD99" s="1497"/>
      <c r="AE99" s="129"/>
      <c r="AF99" s="1497"/>
      <c r="AG99" s="129"/>
      <c r="AH99" s="1497"/>
      <c r="AI99" s="129"/>
      <c r="AJ99" s="1497"/>
      <c r="AK99" s="129"/>
      <c r="AL99" s="1497"/>
      <c r="AM99" s="129"/>
      <c r="AN99" s="1497"/>
      <c r="AO99" s="129"/>
    </row>
    <row r="100" spans="1:41">
      <c r="A100" s="1494"/>
      <c r="B100" s="1513"/>
      <c r="C100" s="1526"/>
      <c r="D100" s="1547"/>
      <c r="E100" s="129" t="s">
        <v>248</v>
      </c>
      <c r="F100" s="1569"/>
      <c r="G100" s="129"/>
      <c r="H100" s="1607"/>
      <c r="I100" s="1494"/>
      <c r="J100" s="1497"/>
      <c r="K100" s="129"/>
      <c r="L100" s="1497"/>
      <c r="M100" s="129"/>
      <c r="N100" s="1497"/>
      <c r="O100" s="129"/>
      <c r="P100" s="1497"/>
      <c r="Q100" s="129"/>
      <c r="R100" s="1497"/>
      <c r="S100" s="129"/>
      <c r="T100" s="1497"/>
      <c r="U100" s="129"/>
      <c r="V100" s="1497"/>
      <c r="W100" s="129"/>
      <c r="X100" s="1497"/>
      <c r="Y100" s="129"/>
      <c r="Z100" s="1497"/>
      <c r="AA100" s="129"/>
      <c r="AB100" s="1497"/>
      <c r="AC100" s="129"/>
      <c r="AD100" s="1497"/>
      <c r="AE100" s="129"/>
      <c r="AF100" s="1497"/>
      <c r="AG100" s="129"/>
      <c r="AH100" s="1497"/>
      <c r="AI100" s="129"/>
      <c r="AJ100" s="1497"/>
      <c r="AK100" s="129"/>
      <c r="AL100" s="1497"/>
      <c r="AM100" s="129"/>
      <c r="AN100" s="1497"/>
      <c r="AO100" s="129"/>
    </row>
    <row r="101" spans="1:41">
      <c r="A101" s="1494"/>
      <c r="B101" s="1513"/>
      <c r="C101" s="1526"/>
      <c r="D101" s="1547"/>
      <c r="E101" s="129"/>
      <c r="F101" s="1569"/>
      <c r="G101" s="129"/>
      <c r="H101" s="1607"/>
      <c r="I101" s="1494"/>
      <c r="J101" s="1497"/>
      <c r="K101" s="129"/>
      <c r="L101" s="1497"/>
      <c r="M101" s="129"/>
      <c r="N101" s="1497"/>
      <c r="O101" s="129"/>
      <c r="P101" s="1497"/>
      <c r="Q101" s="129"/>
      <c r="R101" s="1497"/>
      <c r="S101" s="129"/>
      <c r="T101" s="1497"/>
      <c r="U101" s="129"/>
      <c r="V101" s="1497"/>
      <c r="W101" s="129"/>
      <c r="X101" s="1497"/>
      <c r="Y101" s="129"/>
      <c r="Z101" s="1497"/>
      <c r="AA101" s="129"/>
      <c r="AB101" s="1497"/>
      <c r="AC101" s="129"/>
      <c r="AD101" s="1497"/>
      <c r="AE101" s="129"/>
      <c r="AF101" s="1497"/>
      <c r="AG101" s="129"/>
      <c r="AH101" s="1497"/>
      <c r="AI101" s="129"/>
      <c r="AJ101" s="1497"/>
      <c r="AK101" s="129"/>
      <c r="AL101" s="1497"/>
      <c r="AM101" s="129"/>
      <c r="AN101" s="1497"/>
      <c r="AO101" s="129"/>
    </row>
    <row r="102" spans="1:41">
      <c r="A102" s="1494"/>
      <c r="B102" s="1513"/>
      <c r="C102" s="1526"/>
      <c r="D102" s="1547"/>
      <c r="E102" s="129" t="s">
        <v>374</v>
      </c>
      <c r="F102" s="1570"/>
      <c r="G102" s="129"/>
      <c r="H102" s="1607"/>
      <c r="I102" s="1494"/>
      <c r="J102" s="1497"/>
      <c r="K102" s="129"/>
      <c r="L102" s="1497"/>
      <c r="M102" s="129"/>
      <c r="N102" s="1497"/>
      <c r="O102" s="129"/>
      <c r="P102" s="1497"/>
      <c r="Q102" s="129"/>
      <c r="R102" s="1497"/>
      <c r="S102" s="129"/>
      <c r="T102" s="1497"/>
      <c r="U102" s="129"/>
      <c r="V102" s="1497"/>
      <c r="W102" s="129"/>
      <c r="X102" s="1497"/>
      <c r="Y102" s="129"/>
      <c r="Z102" s="1497"/>
      <c r="AA102" s="129"/>
      <c r="AB102" s="1497"/>
      <c r="AC102" s="129"/>
      <c r="AD102" s="1497"/>
      <c r="AE102" s="129"/>
      <c r="AF102" s="1497"/>
      <c r="AG102" s="129"/>
      <c r="AH102" s="1497"/>
      <c r="AI102" s="129"/>
      <c r="AJ102" s="1497"/>
      <c r="AK102" s="129"/>
      <c r="AL102" s="1497"/>
      <c r="AM102" s="129"/>
      <c r="AN102" s="1497"/>
      <c r="AO102" s="129"/>
    </row>
    <row r="103" spans="1:41">
      <c r="A103" s="1495"/>
      <c r="B103" s="1514"/>
      <c r="C103" s="1526"/>
      <c r="D103" s="1547"/>
      <c r="E103" s="129" t="s">
        <v>32</v>
      </c>
      <c r="F103" s="140"/>
      <c r="G103" s="129"/>
      <c r="H103" s="1607"/>
      <c r="I103" s="1495"/>
      <c r="J103" s="1497"/>
      <c r="K103" s="129"/>
      <c r="L103" s="1497"/>
      <c r="M103" s="129"/>
      <c r="N103" s="1497"/>
      <c r="O103" s="129"/>
      <c r="P103" s="1497"/>
      <c r="Q103" s="129"/>
      <c r="R103" s="1497"/>
      <c r="S103" s="129"/>
      <c r="T103" s="1497"/>
      <c r="U103" s="129"/>
      <c r="V103" s="1497"/>
      <c r="W103" s="129"/>
      <c r="X103" s="1497"/>
      <c r="Y103" s="129"/>
      <c r="Z103" s="1497"/>
      <c r="AA103" s="129"/>
      <c r="AB103" s="1497"/>
      <c r="AC103" s="129"/>
      <c r="AD103" s="1497"/>
      <c r="AE103" s="129"/>
      <c r="AF103" s="1497"/>
      <c r="AG103" s="129"/>
      <c r="AH103" s="1497"/>
      <c r="AI103" s="129"/>
      <c r="AJ103" s="1497"/>
      <c r="AK103" s="129"/>
      <c r="AL103" s="1497"/>
      <c r="AM103" s="129"/>
      <c r="AN103" s="1497"/>
      <c r="AO103" s="129"/>
    </row>
    <row r="104" spans="1:41" ht="13.2" customHeight="1">
      <c r="A104" s="1493">
        <v>26</v>
      </c>
      <c r="B104" s="1512" t="s">
        <v>74</v>
      </c>
      <c r="C104" s="1530" t="s">
        <v>375</v>
      </c>
      <c r="D104" s="1547" t="s">
        <v>376</v>
      </c>
      <c r="E104" s="129" t="s">
        <v>377</v>
      </c>
      <c r="F104" s="1571">
        <v>122479.35</v>
      </c>
      <c r="G104" s="1592" t="s">
        <v>378</v>
      </c>
      <c r="H104" s="1608"/>
      <c r="I104" s="1596"/>
      <c r="J104" s="129"/>
      <c r="K104" s="129"/>
      <c r="L104" s="1571">
        <v>122479.35</v>
      </c>
      <c r="M104" s="1592" t="s">
        <v>378</v>
      </c>
      <c r="N104" s="1497"/>
      <c r="P104" s="1642" t="s">
        <v>379</v>
      </c>
      <c r="Q104" s="1549" t="s">
        <v>380</v>
      </c>
      <c r="R104" s="1497"/>
      <c r="T104" s="1497"/>
      <c r="U104" s="129"/>
      <c r="V104" s="1642" t="s">
        <v>379</v>
      </c>
      <c r="W104" s="1549" t="s">
        <v>381</v>
      </c>
      <c r="X104" s="1703"/>
      <c r="Y104" s="1703"/>
      <c r="Z104" s="1703"/>
      <c r="AA104" s="1703"/>
      <c r="AB104" s="1703"/>
      <c r="AC104" s="1703"/>
      <c r="AD104" s="1703"/>
      <c r="AE104" s="1703"/>
      <c r="AF104" s="1703"/>
      <c r="AG104" s="1703"/>
      <c r="AH104" s="1703"/>
      <c r="AI104" s="1703"/>
      <c r="AJ104" s="1703"/>
      <c r="AK104" s="1703"/>
      <c r="AL104" s="1703"/>
      <c r="AM104" s="1703"/>
      <c r="AN104" s="1703"/>
      <c r="AO104" s="1703"/>
    </row>
    <row r="105" spans="1:41">
      <c r="A105" s="1494"/>
      <c r="B105" s="1513"/>
      <c r="C105" s="1531"/>
      <c r="D105" s="1547"/>
      <c r="E105" s="129" t="s">
        <v>83</v>
      </c>
      <c r="F105" s="1572"/>
      <c r="G105" s="1551"/>
      <c r="H105" s="1608"/>
      <c r="I105" s="1590"/>
      <c r="J105" s="162"/>
      <c r="K105" s="129"/>
      <c r="L105" s="1572"/>
      <c r="M105" s="1551"/>
      <c r="N105" s="1497"/>
      <c r="P105" s="1643"/>
      <c r="Q105" s="1551"/>
      <c r="R105" s="1497"/>
      <c r="T105" s="1497"/>
      <c r="U105" s="129"/>
      <c r="V105" s="1643"/>
      <c r="W105" s="1551"/>
      <c r="X105" s="1630"/>
      <c r="Y105" s="1630"/>
      <c r="Z105" s="1630"/>
      <c r="AA105" s="1630"/>
      <c r="AB105" s="1630"/>
      <c r="AC105" s="1630"/>
      <c r="AD105" s="1630"/>
      <c r="AE105" s="1630"/>
      <c r="AF105" s="1630"/>
      <c r="AG105" s="1630"/>
      <c r="AH105" s="1630"/>
      <c r="AI105" s="1630"/>
      <c r="AJ105" s="1630"/>
      <c r="AK105" s="1630"/>
      <c r="AL105" s="1630"/>
      <c r="AM105" s="1630"/>
      <c r="AN105" s="1630"/>
      <c r="AO105" s="1630"/>
    </row>
    <row r="106" spans="1:41">
      <c r="A106" s="1494"/>
      <c r="B106" s="1513"/>
      <c r="C106" s="1531"/>
      <c r="D106" s="1547"/>
      <c r="E106" s="129"/>
      <c r="F106" s="1572"/>
      <c r="G106" s="1551"/>
      <c r="H106" s="1608"/>
      <c r="I106" s="1590"/>
      <c r="J106" s="129"/>
      <c r="K106" s="129"/>
      <c r="L106" s="1572"/>
      <c r="M106" s="1551"/>
      <c r="N106" s="1497"/>
      <c r="P106" s="1643"/>
      <c r="Q106" s="1551"/>
      <c r="R106" s="1497"/>
      <c r="T106" s="1497"/>
      <c r="U106" s="129"/>
      <c r="V106" s="1643"/>
      <c r="W106" s="1551"/>
      <c r="X106" s="1630"/>
      <c r="Y106" s="1630"/>
      <c r="Z106" s="1630"/>
      <c r="AA106" s="1630"/>
      <c r="AB106" s="1630"/>
      <c r="AC106" s="1630"/>
      <c r="AD106" s="1630"/>
      <c r="AE106" s="1630"/>
      <c r="AF106" s="1630"/>
      <c r="AG106" s="1630"/>
      <c r="AH106" s="1630"/>
      <c r="AI106" s="1630"/>
      <c r="AJ106" s="1630"/>
      <c r="AK106" s="1630"/>
      <c r="AL106" s="1630"/>
      <c r="AM106" s="1630"/>
      <c r="AN106" s="1630"/>
      <c r="AO106" s="1630"/>
    </row>
    <row r="107" spans="1:41">
      <c r="A107" s="1498"/>
      <c r="B107" s="1518"/>
      <c r="C107" s="1531"/>
      <c r="D107" s="1549"/>
      <c r="E107" s="152" t="s">
        <v>382</v>
      </c>
      <c r="F107" s="1577"/>
      <c r="G107" s="1552"/>
      <c r="H107" s="1609"/>
      <c r="I107" s="1590"/>
      <c r="J107" s="152"/>
      <c r="K107" s="152"/>
      <c r="L107" s="1577"/>
      <c r="M107" s="1552"/>
      <c r="N107" s="1661"/>
      <c r="P107" s="1643"/>
      <c r="Q107" s="1551"/>
      <c r="R107" s="1661"/>
      <c r="T107" s="1661"/>
      <c r="U107" s="152"/>
      <c r="V107" s="1643"/>
      <c r="W107" s="1551"/>
      <c r="X107" s="1630"/>
      <c r="Y107" s="1630"/>
      <c r="Z107" s="1630"/>
      <c r="AA107" s="1630"/>
      <c r="AB107" s="1630"/>
      <c r="AC107" s="1630"/>
      <c r="AD107" s="1630"/>
      <c r="AE107" s="1630"/>
      <c r="AF107" s="1630"/>
      <c r="AG107" s="1630"/>
      <c r="AH107" s="1630"/>
      <c r="AI107" s="1630"/>
      <c r="AJ107" s="1630"/>
      <c r="AK107" s="1630"/>
      <c r="AL107" s="1630"/>
      <c r="AM107" s="1630"/>
      <c r="AN107" s="1630"/>
      <c r="AO107" s="1630"/>
    </row>
    <row r="108" spans="1:41" ht="13.2" customHeight="1">
      <c r="A108" s="1499">
        <v>27</v>
      </c>
      <c r="B108" s="1519" t="s">
        <v>85</v>
      </c>
      <c r="C108" s="1532">
        <v>433093</v>
      </c>
      <c r="D108" s="1550" t="s">
        <v>383</v>
      </c>
      <c r="E108" s="153" t="s">
        <v>88</v>
      </c>
      <c r="F108" s="154"/>
      <c r="G108" s="1597"/>
      <c r="H108" s="153"/>
      <c r="I108" s="153"/>
      <c r="J108" s="163"/>
      <c r="K108" s="1550" t="s">
        <v>384</v>
      </c>
      <c r="L108" s="1642" t="s">
        <v>385</v>
      </c>
      <c r="M108" s="1652" t="s">
        <v>386</v>
      </c>
      <c r="N108" s="163"/>
      <c r="O108" s="163"/>
      <c r="P108" s="1679"/>
      <c r="Q108" s="153"/>
      <c r="R108" s="153"/>
      <c r="S108" s="153"/>
      <c r="T108" s="153"/>
      <c r="U108" s="165"/>
      <c r="V108" s="1699" t="s">
        <v>385</v>
      </c>
      <c r="W108" s="1701" t="s">
        <v>387</v>
      </c>
      <c r="X108" s="1704" t="s">
        <v>388</v>
      </c>
      <c r="Y108" s="176"/>
      <c r="Z108" s="153"/>
      <c r="AA108" s="176"/>
      <c r="AB108" s="153"/>
      <c r="AC108" s="176"/>
      <c r="AD108" s="153"/>
      <c r="AE108" s="176"/>
      <c r="AF108" s="153"/>
      <c r="AG108" s="176"/>
      <c r="AH108" s="153"/>
      <c r="AI108" s="176"/>
      <c r="AJ108" s="1707" t="s">
        <v>388</v>
      </c>
      <c r="AK108" s="176"/>
      <c r="AL108" s="153"/>
      <c r="AM108" s="176"/>
      <c r="AN108" s="153"/>
      <c r="AO108" s="176"/>
    </row>
    <row r="109" spans="1:41" ht="13.2" customHeight="1">
      <c r="A109" s="1500"/>
      <c r="B109" s="1513"/>
      <c r="C109" s="1533"/>
      <c r="D109" s="1551"/>
      <c r="E109" s="137" t="s">
        <v>92</v>
      </c>
      <c r="F109" s="140"/>
      <c r="G109" s="1590"/>
      <c r="H109" s="129"/>
      <c r="I109" s="129"/>
      <c r="K109" s="1551"/>
      <c r="L109" s="1643"/>
      <c r="M109" s="1653"/>
      <c r="P109" s="1680"/>
      <c r="Q109" s="129"/>
      <c r="R109" s="129"/>
      <c r="S109" s="129"/>
      <c r="T109" s="129"/>
      <c r="U109" s="166"/>
      <c r="V109" s="1700"/>
      <c r="W109" s="1702"/>
      <c r="X109" s="1705"/>
      <c r="Y109" s="174"/>
      <c r="Z109" s="129"/>
      <c r="AA109" s="174"/>
      <c r="AB109" s="129"/>
      <c r="AC109" s="174"/>
      <c r="AD109" s="129"/>
      <c r="AE109" s="174"/>
      <c r="AF109" s="129"/>
      <c r="AG109" s="174"/>
      <c r="AH109" s="129"/>
      <c r="AI109" s="174"/>
      <c r="AJ109" s="1708"/>
      <c r="AK109" s="174"/>
      <c r="AL109" s="129"/>
      <c r="AM109" s="174"/>
      <c r="AN109" s="129"/>
      <c r="AO109" s="174"/>
    </row>
    <row r="110" spans="1:41">
      <c r="A110" s="1500"/>
      <c r="B110" s="1513"/>
      <c r="C110" s="1533"/>
      <c r="D110" s="1551"/>
      <c r="E110" s="129"/>
      <c r="F110" s="140"/>
      <c r="G110" s="1590"/>
      <c r="H110" s="129"/>
      <c r="I110" s="129"/>
      <c r="K110" s="1551"/>
      <c r="L110" s="1643"/>
      <c r="M110" s="1653"/>
      <c r="P110" s="1680"/>
      <c r="Q110" s="129"/>
      <c r="R110" s="129"/>
      <c r="S110" s="129"/>
      <c r="T110" s="129"/>
      <c r="U110" s="166"/>
      <c r="V110" s="169"/>
      <c r="W110" s="1702"/>
      <c r="X110" s="1705"/>
      <c r="Y110" s="174"/>
      <c r="Z110" s="129"/>
      <c r="AA110" s="174"/>
      <c r="AB110" s="129"/>
      <c r="AC110" s="174"/>
      <c r="AD110" s="129"/>
      <c r="AE110" s="174"/>
      <c r="AF110" s="129"/>
      <c r="AG110" s="174"/>
      <c r="AH110" s="129"/>
      <c r="AI110" s="174"/>
      <c r="AJ110" s="1708"/>
      <c r="AK110" s="174"/>
      <c r="AL110" s="129"/>
      <c r="AM110" s="174"/>
      <c r="AN110" s="129"/>
      <c r="AO110" s="174"/>
    </row>
    <row r="111" spans="1:41">
      <c r="A111" s="1501"/>
      <c r="B111" s="1518"/>
      <c r="C111" s="1534"/>
      <c r="D111" s="1552"/>
      <c r="E111" s="155" t="s">
        <v>389</v>
      </c>
      <c r="F111" s="156"/>
      <c r="G111" s="1598"/>
      <c r="H111" s="155"/>
      <c r="I111" s="155"/>
      <c r="J111" s="164"/>
      <c r="K111" s="1552"/>
      <c r="L111" s="1643"/>
      <c r="M111" s="1654"/>
      <c r="N111" s="164"/>
      <c r="O111" s="164"/>
      <c r="P111" s="1681"/>
      <c r="Q111" s="155"/>
      <c r="R111" s="155"/>
      <c r="S111" s="155"/>
      <c r="T111" s="155"/>
      <c r="U111" s="167"/>
      <c r="V111" s="170"/>
      <c r="W111" s="171"/>
      <c r="X111" s="1705"/>
      <c r="Y111" s="175"/>
      <c r="Z111" s="155"/>
      <c r="AA111" s="175"/>
      <c r="AB111" s="155"/>
      <c r="AC111" s="175"/>
      <c r="AD111" s="155"/>
      <c r="AE111" s="175"/>
      <c r="AF111" s="155"/>
      <c r="AG111" s="175"/>
      <c r="AH111" s="155"/>
      <c r="AI111" s="175"/>
      <c r="AJ111" s="1708"/>
      <c r="AK111" s="175"/>
      <c r="AL111" s="155"/>
      <c r="AM111" s="175"/>
      <c r="AN111" s="155"/>
      <c r="AO111" s="175"/>
    </row>
    <row r="112" spans="1:41">
      <c r="A112" s="1499">
        <v>28</v>
      </c>
      <c r="B112" s="1520" t="s">
        <v>390</v>
      </c>
      <c r="C112" s="1535"/>
      <c r="D112" s="1553" t="s">
        <v>391</v>
      </c>
      <c r="E112" s="153" t="s">
        <v>392</v>
      </c>
      <c r="F112" s="154"/>
      <c r="G112" s="153"/>
      <c r="H112" s="153"/>
      <c r="I112" s="153"/>
      <c r="J112" s="153"/>
      <c r="K112" s="165"/>
      <c r="L112" s="1644"/>
      <c r="M112" s="1655"/>
      <c r="N112" s="163"/>
      <c r="O112" s="153"/>
      <c r="P112" s="153"/>
      <c r="Q112" s="153"/>
      <c r="R112" s="153"/>
      <c r="S112" s="153"/>
      <c r="T112" s="153"/>
      <c r="U112" s="153"/>
      <c r="V112" s="172"/>
      <c r="W112" s="173"/>
      <c r="X112" s="153"/>
      <c r="Y112" s="176"/>
      <c r="Z112" s="153"/>
      <c r="AA112" s="176"/>
      <c r="AB112" s="153"/>
      <c r="AC112" s="176"/>
      <c r="AD112" s="153"/>
      <c r="AE112" s="176"/>
      <c r="AF112" s="153"/>
      <c r="AG112" s="176"/>
      <c r="AH112" s="153"/>
      <c r="AI112" s="176"/>
      <c r="AJ112" s="153"/>
      <c r="AK112" s="176"/>
      <c r="AL112" s="153"/>
      <c r="AM112" s="176"/>
      <c r="AN112" s="153"/>
      <c r="AO112" s="176"/>
    </row>
    <row r="113" spans="1:41">
      <c r="A113" s="1500"/>
      <c r="B113" s="1521"/>
      <c r="C113" s="1536"/>
      <c r="D113" s="1547"/>
      <c r="E113" s="129" t="s">
        <v>320</v>
      </c>
      <c r="F113" s="140" t="s">
        <v>393</v>
      </c>
      <c r="G113" s="129"/>
      <c r="H113" s="129"/>
      <c r="I113" s="129">
        <f>280644+280644</f>
        <v>561288</v>
      </c>
      <c r="J113" s="129"/>
      <c r="K113" s="166"/>
      <c r="L113" s="1644"/>
      <c r="M113" s="1656"/>
      <c r="O113" s="129"/>
      <c r="P113" s="129"/>
      <c r="Q113" s="129"/>
      <c r="R113" s="129"/>
      <c r="S113" s="129"/>
      <c r="T113" s="129"/>
      <c r="U113" s="129"/>
      <c r="V113" s="129"/>
      <c r="W113" s="174"/>
      <c r="X113" s="129"/>
      <c r="Y113" s="174"/>
      <c r="Z113" s="129"/>
      <c r="AA113" s="174"/>
      <c r="AB113" s="129"/>
      <c r="AC113" s="174"/>
      <c r="AD113" s="129"/>
      <c r="AE113" s="174"/>
      <c r="AF113" s="129"/>
      <c r="AG113" s="174"/>
      <c r="AH113" s="129"/>
      <c r="AI113" s="174"/>
      <c r="AJ113" s="129"/>
      <c r="AK113" s="174"/>
      <c r="AL113" s="129"/>
      <c r="AM113" s="174"/>
      <c r="AN113" s="129"/>
      <c r="AO113" s="174"/>
    </row>
    <row r="114" spans="1:41">
      <c r="A114" s="1500"/>
      <c r="B114" s="1521"/>
      <c r="C114" s="1536"/>
      <c r="D114" s="1547"/>
      <c r="E114" s="129"/>
      <c r="F114" s="140"/>
      <c r="G114" s="129"/>
      <c r="H114" s="129"/>
      <c r="I114" s="129">
        <f>I113*7.5%</f>
        <v>42096.6</v>
      </c>
      <c r="J114" s="129"/>
      <c r="K114" s="166"/>
      <c r="L114" s="1644"/>
      <c r="M114" s="1656"/>
      <c r="O114" s="129"/>
      <c r="P114" s="129"/>
      <c r="Q114" s="129"/>
      <c r="R114" s="129"/>
      <c r="S114" s="129"/>
      <c r="T114" s="129"/>
      <c r="U114" s="129"/>
      <c r="V114" s="129"/>
      <c r="W114" s="174"/>
      <c r="X114" s="129"/>
      <c r="Y114" s="174"/>
      <c r="Z114" s="129"/>
      <c r="AA114" s="174"/>
      <c r="AB114" s="129"/>
      <c r="AC114" s="174"/>
      <c r="AD114" s="129"/>
      <c r="AE114" s="174"/>
      <c r="AF114" s="129"/>
      <c r="AG114" s="174"/>
      <c r="AH114" s="129"/>
      <c r="AI114" s="174"/>
      <c r="AJ114" s="129"/>
      <c r="AK114" s="174"/>
      <c r="AL114" s="129"/>
      <c r="AM114" s="174"/>
      <c r="AN114" s="129"/>
      <c r="AO114" s="174"/>
    </row>
    <row r="115" spans="1:41">
      <c r="A115" s="1501"/>
      <c r="B115" s="1522"/>
      <c r="C115" s="1537"/>
      <c r="D115" s="1554"/>
      <c r="E115" s="155" t="s">
        <v>394</v>
      </c>
      <c r="F115" s="156"/>
      <c r="G115" s="155"/>
      <c r="H115" s="155"/>
      <c r="I115" s="155">
        <f>I113-I114</f>
        <v>519191.4</v>
      </c>
      <c r="J115" s="155"/>
      <c r="K115" s="167"/>
      <c r="L115" s="1644"/>
      <c r="M115" s="1657"/>
      <c r="N115" s="164"/>
      <c r="O115" s="155"/>
      <c r="P115" s="155"/>
      <c r="Q115" s="155"/>
      <c r="R115" s="155"/>
      <c r="S115" s="155"/>
      <c r="T115" s="155"/>
      <c r="U115" s="155"/>
      <c r="V115" s="155"/>
      <c r="W115" s="175"/>
      <c r="X115" s="155"/>
      <c r="Y115" s="175"/>
      <c r="Z115" s="155"/>
      <c r="AA115" s="175"/>
      <c r="AB115" s="155"/>
      <c r="AC115" s="175"/>
      <c r="AD115" s="155"/>
      <c r="AE115" s="175"/>
      <c r="AF115" s="155"/>
      <c r="AG115" s="175"/>
      <c r="AH115" s="155"/>
      <c r="AI115" s="175"/>
      <c r="AJ115" s="155"/>
      <c r="AK115" s="175"/>
      <c r="AL115" s="155"/>
      <c r="AM115" s="175"/>
      <c r="AN115" s="155"/>
      <c r="AO115" s="175"/>
    </row>
    <row r="116" spans="1:41">
      <c r="A116" s="1499">
        <v>29</v>
      </c>
      <c r="B116" s="1519" t="s">
        <v>395</v>
      </c>
      <c r="C116" s="1538">
        <v>420454</v>
      </c>
      <c r="D116" s="1553" t="s">
        <v>396</v>
      </c>
      <c r="E116" s="153" t="s">
        <v>397</v>
      </c>
      <c r="F116" s="154"/>
      <c r="G116" s="153"/>
      <c r="H116" s="153"/>
      <c r="I116" s="153"/>
      <c r="J116" s="153"/>
      <c r="K116" s="153"/>
      <c r="L116" s="157"/>
      <c r="M116" s="153"/>
      <c r="N116" s="1662"/>
      <c r="O116" s="1550"/>
      <c r="P116" s="1682">
        <f>C116/2</f>
        <v>210227</v>
      </c>
      <c r="Q116" s="1687" t="s">
        <v>398</v>
      </c>
      <c r="R116" s="153"/>
      <c r="S116" s="153"/>
      <c r="T116" s="153"/>
      <c r="U116" s="153"/>
      <c r="V116" s="153"/>
      <c r="W116" s="176"/>
      <c r="X116" s="153"/>
      <c r="Y116" s="176"/>
      <c r="Z116" s="153"/>
      <c r="AA116" s="176"/>
      <c r="AB116" s="153"/>
      <c r="AC116" s="176"/>
      <c r="AD116" s="153"/>
      <c r="AE116" s="176"/>
      <c r="AF116" s="153"/>
      <c r="AG116" s="176"/>
      <c r="AH116" s="153"/>
      <c r="AI116" s="176"/>
      <c r="AJ116" s="153"/>
      <c r="AK116" s="176"/>
      <c r="AL116" s="153"/>
      <c r="AM116" s="176"/>
      <c r="AN116" s="153"/>
      <c r="AO116" s="176"/>
    </row>
    <row r="117" spans="1:41">
      <c r="A117" s="1500"/>
      <c r="B117" s="1513"/>
      <c r="C117" s="1539"/>
      <c r="D117" s="1547"/>
      <c r="E117" s="129" t="s">
        <v>399</v>
      </c>
      <c r="F117" s="140"/>
      <c r="G117" s="129"/>
      <c r="H117" s="129">
        <f>606330/2</f>
        <v>303165</v>
      </c>
      <c r="I117" s="129"/>
      <c r="J117" s="129"/>
      <c r="K117" s="129"/>
      <c r="L117" s="129"/>
      <c r="M117" s="129"/>
      <c r="N117" s="1663"/>
      <c r="O117" s="1494"/>
      <c r="P117" s="1617"/>
      <c r="Q117" s="1688"/>
      <c r="R117" s="129"/>
      <c r="S117" s="129"/>
      <c r="T117" s="129"/>
      <c r="U117" s="129"/>
      <c r="V117" s="129"/>
      <c r="W117" s="174"/>
      <c r="X117" s="129"/>
      <c r="Y117" s="174"/>
      <c r="Z117" s="129"/>
      <c r="AA117" s="174"/>
      <c r="AB117" s="129"/>
      <c r="AC117" s="174"/>
      <c r="AD117" s="129"/>
      <c r="AE117" s="174"/>
      <c r="AF117" s="129"/>
      <c r="AG117" s="174"/>
      <c r="AH117" s="129"/>
      <c r="AI117" s="174"/>
      <c r="AJ117" s="129"/>
      <c r="AK117" s="174"/>
      <c r="AL117" s="129"/>
      <c r="AM117" s="174"/>
      <c r="AN117" s="129"/>
      <c r="AO117" s="174"/>
    </row>
    <row r="118" spans="1:41">
      <c r="A118" s="1500"/>
      <c r="B118" s="1513"/>
      <c r="C118" s="1539"/>
      <c r="D118" s="1547"/>
      <c r="E118" s="129"/>
      <c r="F118" s="140"/>
      <c r="G118" s="129"/>
      <c r="H118" s="129"/>
      <c r="I118" s="129"/>
      <c r="J118" s="129"/>
      <c r="K118" s="129"/>
      <c r="L118" s="129"/>
      <c r="M118" s="129"/>
      <c r="N118" s="1663"/>
      <c r="O118" s="1494"/>
      <c r="P118" s="1617"/>
      <c r="Q118" s="1688"/>
      <c r="R118" s="129"/>
      <c r="S118" s="129"/>
      <c r="T118" s="129"/>
      <c r="U118" s="129"/>
      <c r="V118" s="129"/>
      <c r="W118" s="174"/>
      <c r="X118" s="129"/>
      <c r="Y118" s="174"/>
      <c r="Z118" s="129"/>
      <c r="AA118" s="174"/>
      <c r="AB118" s="129"/>
      <c r="AC118" s="174"/>
      <c r="AD118" s="129"/>
      <c r="AE118" s="174"/>
      <c r="AF118" s="129"/>
      <c r="AG118" s="174"/>
      <c r="AH118" s="129"/>
      <c r="AI118" s="174"/>
      <c r="AJ118" s="129"/>
      <c r="AK118" s="174"/>
      <c r="AL118" s="129"/>
      <c r="AM118" s="174"/>
      <c r="AN118" s="129"/>
      <c r="AO118" s="174"/>
    </row>
    <row r="119" spans="1:41">
      <c r="A119" s="1501"/>
      <c r="B119" s="1518"/>
      <c r="C119" s="1540"/>
      <c r="D119" s="1554"/>
      <c r="E119" s="155" t="s">
        <v>400</v>
      </c>
      <c r="F119" s="156"/>
      <c r="G119" s="155"/>
      <c r="H119" s="155"/>
      <c r="I119" s="155"/>
      <c r="J119" s="155"/>
      <c r="K119" s="155"/>
      <c r="L119" s="155"/>
      <c r="M119" s="155"/>
      <c r="N119" s="1664"/>
      <c r="O119" s="1498"/>
      <c r="P119" s="1683"/>
      <c r="Q119" s="1689"/>
      <c r="R119" s="155"/>
      <c r="S119" s="155"/>
      <c r="T119" s="155"/>
      <c r="U119" s="155"/>
      <c r="V119" s="155"/>
      <c r="W119" s="175"/>
      <c r="X119" s="155"/>
      <c r="Y119" s="175"/>
      <c r="Z119" s="155"/>
      <c r="AA119" s="175"/>
      <c r="AB119" s="155"/>
      <c r="AC119" s="175"/>
      <c r="AD119" s="155"/>
      <c r="AE119" s="175"/>
      <c r="AF119" s="155"/>
      <c r="AG119" s="175"/>
      <c r="AH119" s="155"/>
      <c r="AI119" s="175"/>
      <c r="AJ119" s="155"/>
      <c r="AK119" s="175"/>
      <c r="AL119" s="155"/>
      <c r="AM119" s="175"/>
      <c r="AN119" s="155"/>
      <c r="AO119" s="175"/>
    </row>
    <row r="120" spans="1:41">
      <c r="A120" s="1502">
        <v>30</v>
      </c>
      <c r="B120" s="1519" t="s">
        <v>401</v>
      </c>
      <c r="C120" s="1541"/>
      <c r="D120" s="1555" t="s">
        <v>402</v>
      </c>
      <c r="E120" s="157" t="s">
        <v>403</v>
      </c>
      <c r="F120" s="158"/>
      <c r="G120" s="157"/>
      <c r="H120" s="157"/>
      <c r="I120" s="157"/>
      <c r="J120" s="157"/>
      <c r="K120" s="1629"/>
      <c r="L120" s="1645"/>
      <c r="M120" s="1658"/>
      <c r="N120" s="157"/>
      <c r="O120" s="157"/>
      <c r="P120" s="1613">
        <v>650054.5</v>
      </c>
      <c r="Q120" s="1550" t="s">
        <v>404</v>
      </c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57"/>
      <c r="AI120" s="157"/>
      <c r="AJ120" s="157"/>
      <c r="AK120" s="157"/>
      <c r="AL120" s="157"/>
      <c r="AM120" s="157"/>
      <c r="AN120" s="157"/>
      <c r="AO120" s="157"/>
    </row>
    <row r="121" spans="1:41" ht="24.6">
      <c r="A121" s="1494"/>
      <c r="B121" s="1513"/>
      <c r="C121" s="1542"/>
      <c r="D121" s="1547"/>
      <c r="E121" s="160" t="s">
        <v>405</v>
      </c>
      <c r="F121" s="140"/>
      <c r="G121" s="129"/>
      <c r="H121" s="129"/>
      <c r="I121" s="129"/>
      <c r="J121" s="129"/>
      <c r="K121" s="1630"/>
      <c r="L121" s="1646"/>
      <c r="M121" s="1658"/>
      <c r="N121" s="129"/>
      <c r="O121" s="129"/>
      <c r="P121" s="1614"/>
      <c r="Q121" s="1494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</row>
    <row r="122" spans="1:41">
      <c r="A122" s="1494"/>
      <c r="B122" s="1513"/>
      <c r="C122" s="1542"/>
      <c r="D122" s="1547"/>
      <c r="E122" s="129"/>
      <c r="F122" s="140"/>
      <c r="G122" s="129"/>
      <c r="H122" s="129"/>
      <c r="I122" s="129"/>
      <c r="J122" s="129"/>
      <c r="K122" s="1630"/>
      <c r="L122" s="1647"/>
      <c r="M122" s="1658"/>
      <c r="N122" s="129"/>
      <c r="O122" s="129"/>
      <c r="P122" s="1614"/>
      <c r="Q122" s="1494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</row>
    <row r="123" spans="1:41">
      <c r="A123" s="1495"/>
      <c r="B123" s="1514"/>
      <c r="C123" s="1542"/>
      <c r="D123" s="1547"/>
      <c r="E123" s="129" t="s">
        <v>400</v>
      </c>
      <c r="F123" s="140"/>
      <c r="G123" s="129"/>
      <c r="H123" s="129"/>
      <c r="I123" s="129"/>
      <c r="J123" s="129"/>
      <c r="K123" s="1631"/>
      <c r="L123" s="1648"/>
      <c r="M123" s="1659"/>
      <c r="N123" s="129"/>
      <c r="O123" s="129"/>
      <c r="P123" s="1615"/>
      <c r="Q123" s="1495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</row>
    <row r="124" spans="1:41" ht="20.399999999999999">
      <c r="A124" s="1493">
        <v>31</v>
      </c>
      <c r="B124" s="1512" t="s">
        <v>406</v>
      </c>
      <c r="C124" s="1542"/>
      <c r="D124" s="1547" t="s">
        <v>407</v>
      </c>
      <c r="E124" s="129" t="s">
        <v>220</v>
      </c>
      <c r="F124" s="140"/>
      <c r="G124" s="129"/>
      <c r="H124" s="1610">
        <v>123363</v>
      </c>
      <c r="I124" s="1592" t="s">
        <v>408</v>
      </c>
      <c r="J124" s="129"/>
      <c r="K124" s="129"/>
      <c r="L124" s="1597"/>
      <c r="M124" s="129"/>
      <c r="N124" s="1665">
        <v>123363</v>
      </c>
      <c r="O124" s="1671" t="s">
        <v>408</v>
      </c>
      <c r="P124" s="129"/>
      <c r="Q124" s="129"/>
      <c r="R124" s="129"/>
      <c r="S124" s="129"/>
      <c r="T124" s="1665">
        <v>123363</v>
      </c>
      <c r="U124" s="1671" t="s">
        <v>408</v>
      </c>
      <c r="V124" s="129"/>
      <c r="W124" s="129"/>
      <c r="X124" s="129"/>
      <c r="Y124" s="129"/>
      <c r="Z124" s="1665">
        <v>123363</v>
      </c>
      <c r="AA124" s="1671" t="s">
        <v>408</v>
      </c>
      <c r="AB124" s="129"/>
      <c r="AC124" s="129"/>
      <c r="AD124" s="129"/>
      <c r="AE124" s="129"/>
      <c r="AF124" s="1665">
        <v>123363</v>
      </c>
      <c r="AG124" s="1671" t="s">
        <v>408</v>
      </c>
      <c r="AH124" s="138">
        <v>94925.5</v>
      </c>
      <c r="AI124" s="178" t="s">
        <v>409</v>
      </c>
      <c r="AJ124" s="129"/>
      <c r="AK124" s="129"/>
      <c r="AL124" s="1710">
        <v>123363</v>
      </c>
      <c r="AM124" s="1671" t="s">
        <v>408</v>
      </c>
      <c r="AN124" s="129"/>
      <c r="AO124" s="129"/>
    </row>
    <row r="125" spans="1:41">
      <c r="A125" s="1494"/>
      <c r="B125" s="1513"/>
      <c r="C125" s="1542"/>
      <c r="D125" s="1548"/>
      <c r="E125" s="129" t="s">
        <v>410</v>
      </c>
      <c r="F125" s="140"/>
      <c r="G125" s="129"/>
      <c r="H125" s="1611"/>
      <c r="I125" s="1623"/>
      <c r="J125" s="129"/>
      <c r="K125" s="129"/>
      <c r="L125" s="1590"/>
      <c r="M125" s="129"/>
      <c r="N125" s="1666"/>
      <c r="O125" s="1672"/>
      <c r="P125" s="129"/>
      <c r="Q125" s="129"/>
      <c r="R125" s="129"/>
      <c r="S125" s="129"/>
      <c r="T125" s="1666"/>
      <c r="U125" s="1672"/>
      <c r="V125" s="129"/>
      <c r="W125" s="129"/>
      <c r="X125" s="129"/>
      <c r="Y125" s="129"/>
      <c r="Z125" s="1666"/>
      <c r="AA125" s="1672"/>
      <c r="AB125" s="129"/>
      <c r="AC125" s="129"/>
      <c r="AD125" s="129"/>
      <c r="AE125" s="129"/>
      <c r="AF125" s="1666"/>
      <c r="AG125" s="1672"/>
      <c r="AH125" s="138">
        <v>165841</v>
      </c>
      <c r="AI125" s="179" t="s">
        <v>411</v>
      </c>
      <c r="AJ125" s="129"/>
      <c r="AK125" s="129"/>
      <c r="AL125" s="1711"/>
      <c r="AM125" s="1672"/>
      <c r="AN125" s="129"/>
      <c r="AO125" s="129"/>
    </row>
    <row r="126" spans="1:41">
      <c r="A126" s="1494"/>
      <c r="B126" s="1513"/>
      <c r="C126" s="1542"/>
      <c r="D126" s="1548"/>
      <c r="E126" s="129"/>
      <c r="F126" s="140"/>
      <c r="G126" s="129"/>
      <c r="H126" s="1611"/>
      <c r="I126" s="1623"/>
      <c r="J126" s="129"/>
      <c r="K126" s="129"/>
      <c r="L126" s="1590"/>
      <c r="M126" s="129"/>
      <c r="N126" s="1666"/>
      <c r="O126" s="1672"/>
      <c r="P126" s="129"/>
      <c r="Q126" s="129"/>
      <c r="R126" s="129"/>
      <c r="S126" s="129"/>
      <c r="T126" s="1666"/>
      <c r="U126" s="1672"/>
      <c r="V126" s="129"/>
      <c r="W126" s="129"/>
      <c r="X126" s="129"/>
      <c r="Y126" s="129"/>
      <c r="Z126" s="1666"/>
      <c r="AA126" s="1672"/>
      <c r="AB126" s="129"/>
      <c r="AC126" s="129"/>
      <c r="AD126" s="129"/>
      <c r="AE126" s="129"/>
      <c r="AF126" s="1666"/>
      <c r="AG126" s="1672"/>
      <c r="AH126" s="177"/>
      <c r="AI126" s="177"/>
      <c r="AJ126" s="129"/>
      <c r="AK126" s="129"/>
      <c r="AL126" s="1711"/>
      <c r="AM126" s="1672"/>
      <c r="AN126" s="129"/>
      <c r="AO126" s="129"/>
    </row>
    <row r="127" spans="1:41">
      <c r="A127" s="1495"/>
      <c r="B127" s="1514"/>
      <c r="C127" s="1542"/>
      <c r="D127" s="1548"/>
      <c r="E127" s="129"/>
      <c r="F127" s="140"/>
      <c r="G127" s="129"/>
      <c r="H127" s="1612"/>
      <c r="I127" s="1624"/>
      <c r="J127" s="129"/>
      <c r="K127" s="129"/>
      <c r="L127" s="1591"/>
      <c r="M127" s="129"/>
      <c r="N127" s="1667"/>
      <c r="O127" s="1673"/>
      <c r="P127" s="129"/>
      <c r="Q127" s="129"/>
      <c r="R127" s="129"/>
      <c r="S127" s="129"/>
      <c r="T127" s="1667"/>
      <c r="U127" s="1673"/>
      <c r="V127" s="129"/>
      <c r="W127" s="129"/>
      <c r="X127" s="129"/>
      <c r="Y127" s="129"/>
      <c r="Z127" s="1667"/>
      <c r="AA127" s="1673"/>
      <c r="AB127" s="129"/>
      <c r="AC127" s="129"/>
      <c r="AD127" s="129"/>
      <c r="AE127" s="129"/>
      <c r="AF127" s="1667"/>
      <c r="AG127" s="1673"/>
      <c r="AH127" s="180"/>
      <c r="AI127" s="180"/>
      <c r="AJ127" s="129"/>
      <c r="AK127" s="129"/>
      <c r="AL127" s="1712"/>
      <c r="AM127" s="1673"/>
      <c r="AN127" s="129"/>
      <c r="AO127" s="129"/>
    </row>
    <row r="128" spans="1:41">
      <c r="A128" s="1493">
        <v>32</v>
      </c>
      <c r="B128" s="1523" t="s">
        <v>412</v>
      </c>
      <c r="C128" s="1526">
        <f>26442.5*2</f>
        <v>52885</v>
      </c>
      <c r="D128" s="1547" t="s">
        <v>413</v>
      </c>
      <c r="E128" s="129" t="s">
        <v>414</v>
      </c>
      <c r="F128" s="140"/>
      <c r="G128" s="129"/>
      <c r="H128" s="129"/>
      <c r="I128" s="129"/>
      <c r="J128" s="129"/>
      <c r="K128" s="168"/>
      <c r="L128" s="129"/>
      <c r="M128" s="129"/>
      <c r="N128" s="1668">
        <v>26442.5</v>
      </c>
      <c r="O128" s="1674" t="s">
        <v>415</v>
      </c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</row>
    <row r="129" spans="1:41">
      <c r="A129" s="1494"/>
      <c r="B129" s="1521"/>
      <c r="C129" s="1526"/>
      <c r="D129" s="1547"/>
      <c r="E129" s="129" t="s">
        <v>416</v>
      </c>
      <c r="F129" s="140"/>
      <c r="G129" s="129"/>
      <c r="H129" s="129"/>
      <c r="I129" s="129"/>
      <c r="J129" s="129"/>
      <c r="K129" s="129"/>
      <c r="L129" s="129"/>
      <c r="M129" s="129"/>
      <c r="N129" s="1668"/>
      <c r="O129" s="1674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</row>
    <row r="130" spans="1:41">
      <c r="A130" s="1494"/>
      <c r="B130" s="1521"/>
      <c r="C130" s="1526"/>
      <c r="D130" s="1547"/>
      <c r="E130" s="129"/>
      <c r="F130" s="140"/>
      <c r="G130" s="129"/>
      <c r="H130" s="129"/>
      <c r="I130" s="129"/>
      <c r="J130" s="129"/>
      <c r="K130" s="129"/>
      <c r="L130" s="129"/>
      <c r="M130" s="129"/>
      <c r="N130" s="1668"/>
      <c r="O130" s="1674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</row>
    <row r="131" spans="1:41">
      <c r="A131" s="1495"/>
      <c r="B131" s="1524"/>
      <c r="C131" s="1526"/>
      <c r="D131" s="1547"/>
      <c r="E131" s="129" t="s">
        <v>417</v>
      </c>
      <c r="F131" s="140"/>
      <c r="G131" s="129"/>
      <c r="H131" s="129"/>
      <c r="I131" s="129"/>
      <c r="J131" s="129"/>
      <c r="K131" s="129"/>
      <c r="L131" s="129"/>
      <c r="M131" s="129"/>
      <c r="N131" s="1668"/>
      <c r="O131" s="1674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</row>
    <row r="132" spans="1:41">
      <c r="A132" s="1493">
        <v>33</v>
      </c>
      <c r="B132" s="1512" t="s">
        <v>418</v>
      </c>
      <c r="C132" s="159"/>
      <c r="D132" s="151"/>
      <c r="E132" s="129"/>
      <c r="F132" s="140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</row>
    <row r="133" spans="1:41">
      <c r="A133" s="1494"/>
      <c r="B133" s="1513"/>
      <c r="C133" s="159"/>
      <c r="D133" s="151"/>
      <c r="E133" s="129"/>
      <c r="F133" s="140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</row>
    <row r="134" spans="1:41">
      <c r="A134" s="1494"/>
      <c r="B134" s="1513"/>
      <c r="C134" s="159"/>
      <c r="D134" s="151"/>
      <c r="E134" s="129"/>
      <c r="F134" s="140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</row>
    <row r="135" spans="1:41">
      <c r="A135" s="1495"/>
      <c r="B135" s="1514"/>
      <c r="C135" s="159"/>
      <c r="D135" s="151"/>
      <c r="E135" s="129"/>
      <c r="F135" s="140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</row>
    <row r="136" spans="1:41">
      <c r="A136" s="1493">
        <v>34</v>
      </c>
      <c r="B136" s="1512" t="s">
        <v>419</v>
      </c>
      <c r="C136" s="1543">
        <v>39543</v>
      </c>
      <c r="D136" s="1547" t="s">
        <v>420</v>
      </c>
      <c r="E136" s="143" t="s">
        <v>421</v>
      </c>
      <c r="F136" s="1571">
        <v>39543</v>
      </c>
      <c r="G136" s="1593" t="s">
        <v>422</v>
      </c>
      <c r="H136" s="129"/>
      <c r="I136" s="129"/>
      <c r="J136" s="129"/>
      <c r="K136" s="129"/>
      <c r="L136" s="129"/>
      <c r="M136" s="129"/>
      <c r="N136" s="1669">
        <f>C136/4</f>
        <v>9885.75</v>
      </c>
      <c r="O136" s="1547" t="s">
        <v>423</v>
      </c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</row>
    <row r="137" spans="1:41">
      <c r="A137" s="1494"/>
      <c r="B137" s="1513"/>
      <c r="C137" s="1543"/>
      <c r="D137" s="1547"/>
      <c r="E137" s="129" t="s">
        <v>424</v>
      </c>
      <c r="F137" s="1572"/>
      <c r="G137" s="1594"/>
      <c r="H137" s="129"/>
      <c r="I137" s="129"/>
      <c r="J137" s="129"/>
      <c r="K137" s="129"/>
      <c r="L137" s="129"/>
      <c r="M137" s="129"/>
      <c r="N137" s="1669"/>
      <c r="O137" s="1547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</row>
    <row r="138" spans="1:41">
      <c r="A138" s="1494"/>
      <c r="B138" s="1513"/>
      <c r="C138" s="1543"/>
      <c r="D138" s="1547"/>
      <c r="E138" s="129"/>
      <c r="F138" s="1572"/>
      <c r="G138" s="1594"/>
      <c r="H138" s="129"/>
      <c r="I138" s="129"/>
      <c r="J138" s="129"/>
      <c r="K138" s="129"/>
      <c r="L138" s="129"/>
      <c r="M138" s="129"/>
      <c r="N138" s="1669"/>
      <c r="O138" s="1547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</row>
    <row r="139" spans="1:41">
      <c r="A139" s="1495"/>
      <c r="B139" s="1514"/>
      <c r="C139" s="1543"/>
      <c r="D139" s="1547"/>
      <c r="E139" s="129" t="s">
        <v>425</v>
      </c>
      <c r="F139" s="1573"/>
      <c r="G139" s="1595"/>
      <c r="H139" s="129"/>
      <c r="I139" s="129"/>
      <c r="J139" s="129"/>
      <c r="K139" s="129"/>
      <c r="L139" s="129"/>
      <c r="M139" s="129"/>
      <c r="N139" s="1669"/>
      <c r="O139" s="1547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</row>
    <row r="140" spans="1:41">
      <c r="A140" s="1493">
        <v>35</v>
      </c>
      <c r="B140" s="1512" t="s">
        <v>426</v>
      </c>
      <c r="C140" s="1544">
        <v>370089</v>
      </c>
      <c r="D140" s="1547" t="s">
        <v>420</v>
      </c>
      <c r="E140" s="129" t="s">
        <v>427</v>
      </c>
      <c r="F140" s="1578"/>
      <c r="G140" s="129"/>
      <c r="H140" s="1613" t="s">
        <v>428</v>
      </c>
      <c r="I140" s="1549" t="s">
        <v>429</v>
      </c>
      <c r="J140" s="1493"/>
      <c r="K140" s="129"/>
      <c r="L140" s="1493"/>
      <c r="M140" s="1596"/>
      <c r="N140" s="1613" t="s">
        <v>428</v>
      </c>
      <c r="O140" s="1549" t="s">
        <v>429</v>
      </c>
      <c r="P140" s="129"/>
      <c r="Q140" s="129"/>
      <c r="R140" s="129"/>
      <c r="S140" s="129"/>
      <c r="T140" s="1613" t="s">
        <v>428</v>
      </c>
      <c r="U140" s="1549" t="s">
        <v>429</v>
      </c>
      <c r="V140" s="129"/>
      <c r="W140" s="129"/>
      <c r="X140" s="129"/>
      <c r="Y140" s="129"/>
      <c r="Z140" s="1613" t="s">
        <v>428</v>
      </c>
      <c r="AA140" s="1549" t="s">
        <v>429</v>
      </c>
      <c r="AB140" s="129"/>
      <c r="AC140" s="129"/>
      <c r="AD140" s="129"/>
      <c r="AE140" s="129"/>
      <c r="AF140" s="1613" t="s">
        <v>428</v>
      </c>
      <c r="AG140" s="1549" t="s">
        <v>429</v>
      </c>
      <c r="AH140" s="129"/>
      <c r="AI140" s="129"/>
      <c r="AJ140" s="1613" t="s">
        <v>430</v>
      </c>
      <c r="AK140" s="1493"/>
      <c r="AL140" s="1613" t="s">
        <v>428</v>
      </c>
      <c r="AM140" s="1549" t="s">
        <v>429</v>
      </c>
      <c r="AN140" s="129"/>
      <c r="AO140" s="129"/>
    </row>
    <row r="141" spans="1:41" ht="28.2" customHeight="1">
      <c r="A141" s="1494"/>
      <c r="B141" s="1513"/>
      <c r="C141" s="1544"/>
      <c r="D141" s="1547"/>
      <c r="E141" s="137" t="s">
        <v>431</v>
      </c>
      <c r="F141" s="1579"/>
      <c r="G141" s="129"/>
      <c r="H141" s="1614"/>
      <c r="I141" s="1494"/>
      <c r="J141" s="1494"/>
      <c r="K141" s="129"/>
      <c r="L141" s="1494"/>
      <c r="M141" s="1590"/>
      <c r="N141" s="1614"/>
      <c r="O141" s="1494"/>
      <c r="P141" s="129"/>
      <c r="Q141" s="129"/>
      <c r="R141" s="129"/>
      <c r="S141" s="129"/>
      <c r="T141" s="1614"/>
      <c r="U141" s="1494"/>
      <c r="V141" s="129"/>
      <c r="W141" s="129"/>
      <c r="X141" s="129"/>
      <c r="Y141" s="129"/>
      <c r="Z141" s="1614"/>
      <c r="AA141" s="1494"/>
      <c r="AB141" s="129"/>
      <c r="AC141" s="129"/>
      <c r="AD141" s="129"/>
      <c r="AE141" s="129"/>
      <c r="AF141" s="1614"/>
      <c r="AG141" s="1494"/>
      <c r="AH141" s="129"/>
      <c r="AI141" s="129"/>
      <c r="AJ141" s="1614"/>
      <c r="AK141" s="1494"/>
      <c r="AL141" s="1614"/>
      <c r="AM141" s="1494"/>
      <c r="AN141" s="129"/>
      <c r="AO141" s="129"/>
    </row>
    <row r="142" spans="1:41">
      <c r="A142" s="1494"/>
      <c r="B142" s="1513"/>
      <c r="C142" s="1544"/>
      <c r="D142" s="1547"/>
      <c r="E142" s="129"/>
      <c r="F142" s="1579"/>
      <c r="G142" s="129"/>
      <c r="H142" s="1614"/>
      <c r="I142" s="1494"/>
      <c r="J142" s="1494"/>
      <c r="K142" s="129"/>
      <c r="L142" s="1494"/>
      <c r="M142" s="1590"/>
      <c r="N142" s="1614"/>
      <c r="O142" s="1494"/>
      <c r="P142" s="129"/>
      <c r="Q142" s="129"/>
      <c r="R142" s="129"/>
      <c r="S142" s="129"/>
      <c r="T142" s="1614"/>
      <c r="U142" s="1494"/>
      <c r="V142" s="129"/>
      <c r="W142" s="129"/>
      <c r="X142" s="129"/>
      <c r="Y142" s="129"/>
      <c r="Z142" s="1614"/>
      <c r="AA142" s="1494"/>
      <c r="AB142" s="129"/>
      <c r="AC142" s="129"/>
      <c r="AD142" s="129"/>
      <c r="AE142" s="129"/>
      <c r="AF142" s="1614"/>
      <c r="AG142" s="1494"/>
      <c r="AH142" s="129"/>
      <c r="AI142" s="129"/>
      <c r="AJ142" s="1614"/>
      <c r="AK142" s="1494"/>
      <c r="AL142" s="1614"/>
      <c r="AM142" s="1494"/>
      <c r="AN142" s="129"/>
      <c r="AO142" s="129"/>
    </row>
    <row r="143" spans="1:41">
      <c r="A143" s="1495"/>
      <c r="B143" s="1514"/>
      <c r="C143" s="1544"/>
      <c r="D143" s="1547"/>
      <c r="E143" s="129" t="s">
        <v>432</v>
      </c>
      <c r="F143" s="1580"/>
      <c r="G143" s="129"/>
      <c r="H143" s="1615"/>
      <c r="I143" s="1495"/>
      <c r="J143" s="1495"/>
      <c r="K143" s="129"/>
      <c r="L143" s="1495"/>
      <c r="M143" s="1591"/>
      <c r="N143" s="1615"/>
      <c r="O143" s="1495"/>
      <c r="P143" s="129"/>
      <c r="Q143" s="129"/>
      <c r="R143" s="129"/>
      <c r="S143" s="129"/>
      <c r="T143" s="1615"/>
      <c r="U143" s="1495"/>
      <c r="V143" s="129"/>
      <c r="W143" s="129"/>
      <c r="X143" s="129"/>
      <c r="Y143" s="129"/>
      <c r="Z143" s="1615"/>
      <c r="AA143" s="1495"/>
      <c r="AB143" s="129"/>
      <c r="AC143" s="129"/>
      <c r="AD143" s="129"/>
      <c r="AE143" s="129"/>
      <c r="AF143" s="1615"/>
      <c r="AG143" s="1495"/>
      <c r="AH143" s="129"/>
      <c r="AI143" s="129"/>
      <c r="AJ143" s="1615"/>
      <c r="AK143" s="1495"/>
      <c r="AL143" s="1615"/>
      <c r="AM143" s="1495"/>
      <c r="AN143" s="129"/>
      <c r="AO143" s="129"/>
    </row>
    <row r="144" spans="1:41">
      <c r="A144" s="1493">
        <v>36</v>
      </c>
      <c r="B144" s="1512" t="s">
        <v>433</v>
      </c>
      <c r="C144" s="1544">
        <v>104005</v>
      </c>
      <c r="D144" s="1547" t="s">
        <v>434</v>
      </c>
      <c r="E144" s="137" t="s">
        <v>435</v>
      </c>
      <c r="F144" s="1578"/>
      <c r="G144" s="129"/>
      <c r="H144" s="1616"/>
      <c r="I144" s="1549"/>
      <c r="J144" s="1493"/>
      <c r="K144" s="129"/>
      <c r="L144" s="1571">
        <v>104005</v>
      </c>
      <c r="M144" s="1593" t="s">
        <v>436</v>
      </c>
      <c r="N144" s="1616"/>
      <c r="O144" s="1549"/>
      <c r="P144" s="129"/>
      <c r="Q144" s="129"/>
      <c r="R144" s="129"/>
      <c r="S144" s="129"/>
      <c r="T144" s="1493"/>
      <c r="U144" s="1549"/>
      <c r="V144" s="129"/>
      <c r="W144" s="129"/>
      <c r="X144" s="129"/>
      <c r="Y144" s="129"/>
      <c r="Z144" s="1493"/>
      <c r="AA144" s="1549"/>
      <c r="AB144" s="129"/>
      <c r="AC144" s="129"/>
      <c r="AD144" s="129"/>
      <c r="AE144" s="129"/>
      <c r="AF144" s="1493"/>
      <c r="AG144" s="1549"/>
      <c r="AH144" s="129"/>
      <c r="AI144" s="129"/>
      <c r="AJ144" s="1616"/>
      <c r="AK144" s="1493"/>
      <c r="AL144" s="1616"/>
      <c r="AM144" s="1549"/>
      <c r="AN144" s="129"/>
      <c r="AO144" s="129"/>
    </row>
    <row r="145" spans="1:41">
      <c r="A145" s="1494"/>
      <c r="B145" s="1513"/>
      <c r="C145" s="1544"/>
      <c r="D145" s="1547"/>
      <c r="E145" s="137" t="s">
        <v>437</v>
      </c>
      <c r="F145" s="1579"/>
      <c r="G145" s="129"/>
      <c r="H145" s="1617"/>
      <c r="I145" s="1494"/>
      <c r="J145" s="1494"/>
      <c r="K145" s="129"/>
      <c r="L145" s="1572"/>
      <c r="M145" s="1594"/>
      <c r="N145" s="1617"/>
      <c r="O145" s="1494"/>
      <c r="P145" s="129"/>
      <c r="Q145" s="129"/>
      <c r="R145" s="129"/>
      <c r="S145" s="129"/>
      <c r="T145" s="1494"/>
      <c r="U145" s="1494"/>
      <c r="V145" s="129"/>
      <c r="W145" s="129"/>
      <c r="X145" s="129"/>
      <c r="Y145" s="129"/>
      <c r="Z145" s="1494"/>
      <c r="AA145" s="1494"/>
      <c r="AB145" s="129"/>
      <c r="AC145" s="129"/>
      <c r="AD145" s="129"/>
      <c r="AE145" s="129"/>
      <c r="AF145" s="1494"/>
      <c r="AG145" s="1494"/>
      <c r="AH145" s="129"/>
      <c r="AI145" s="129"/>
      <c r="AJ145" s="1617"/>
      <c r="AK145" s="1494"/>
      <c r="AL145" s="1617"/>
      <c r="AM145" s="1494"/>
      <c r="AN145" s="129"/>
      <c r="AO145" s="129"/>
    </row>
    <row r="146" spans="1:41">
      <c r="A146" s="1494"/>
      <c r="B146" s="1513"/>
      <c r="C146" s="1544"/>
      <c r="D146" s="1547"/>
      <c r="E146" s="129"/>
      <c r="F146" s="1579"/>
      <c r="G146" s="129"/>
      <c r="H146" s="1617"/>
      <c r="I146" s="1494"/>
      <c r="J146" s="1494"/>
      <c r="K146" s="129"/>
      <c r="L146" s="1572"/>
      <c r="M146" s="1594"/>
      <c r="N146" s="1617"/>
      <c r="O146" s="1494"/>
      <c r="P146" s="129"/>
      <c r="Q146" s="129"/>
      <c r="R146" s="129"/>
      <c r="S146" s="129"/>
      <c r="T146" s="1494"/>
      <c r="U146" s="1494"/>
      <c r="V146" s="129"/>
      <c r="W146" s="129"/>
      <c r="X146" s="129"/>
      <c r="Y146" s="129"/>
      <c r="Z146" s="1494"/>
      <c r="AA146" s="1494"/>
      <c r="AB146" s="129"/>
      <c r="AC146" s="129"/>
      <c r="AD146" s="129"/>
      <c r="AE146" s="129"/>
      <c r="AF146" s="1494"/>
      <c r="AG146" s="1494"/>
      <c r="AH146" s="129"/>
      <c r="AI146" s="129"/>
      <c r="AJ146" s="1617"/>
      <c r="AK146" s="1494"/>
      <c r="AL146" s="1617"/>
      <c r="AM146" s="1494"/>
      <c r="AN146" s="129"/>
      <c r="AO146" s="129"/>
    </row>
    <row r="147" spans="1:41">
      <c r="A147" s="1495"/>
      <c r="B147" s="1514"/>
      <c r="C147" s="1544"/>
      <c r="D147" s="1547"/>
      <c r="E147" s="129" t="s">
        <v>438</v>
      </c>
      <c r="F147" s="1580"/>
      <c r="G147" s="129"/>
      <c r="H147" s="1618"/>
      <c r="I147" s="1495"/>
      <c r="J147" s="1495"/>
      <c r="K147" s="129"/>
      <c r="L147" s="1573"/>
      <c r="M147" s="1595"/>
      <c r="N147" s="1618"/>
      <c r="O147" s="1495"/>
      <c r="P147" s="129"/>
      <c r="Q147" s="129"/>
      <c r="R147" s="129"/>
      <c r="S147" s="129"/>
      <c r="T147" s="1698"/>
      <c r="U147" s="1495"/>
      <c r="V147" s="129"/>
      <c r="W147" s="129"/>
      <c r="X147" s="129"/>
      <c r="Y147" s="129"/>
      <c r="Z147" s="1698"/>
      <c r="AA147" s="1495"/>
      <c r="AB147" s="129"/>
      <c r="AC147" s="129"/>
      <c r="AD147" s="129"/>
      <c r="AE147" s="129"/>
      <c r="AF147" s="1698"/>
      <c r="AG147" s="1495"/>
      <c r="AH147" s="129"/>
      <c r="AI147" s="129"/>
      <c r="AJ147" s="1709"/>
      <c r="AK147" s="1495"/>
      <c r="AL147" s="1618"/>
      <c r="AM147" s="1495"/>
      <c r="AN147" s="129"/>
      <c r="AO147" s="129"/>
    </row>
  </sheetData>
  <autoFilter ref="A2:AP147" xr:uid="{00000000-0009-0000-0000-000001000000}"/>
  <mergeCells count="742">
    <mergeCell ref="AN99:AN103"/>
    <mergeCell ref="AN104:AN107"/>
    <mergeCell ref="AO63:AO66"/>
    <mergeCell ref="AO67:AO70"/>
    <mergeCell ref="AO104:AO107"/>
    <mergeCell ref="AN39:AN42"/>
    <mergeCell ref="AN67:AN70"/>
    <mergeCell ref="AN71:AN74"/>
    <mergeCell ref="AN75:AN78"/>
    <mergeCell ref="AN79:AN82"/>
    <mergeCell ref="AN83:AN86"/>
    <mergeCell ref="AN87:AN90"/>
    <mergeCell ref="AN91:AN94"/>
    <mergeCell ref="AN95:AN98"/>
    <mergeCell ref="AN3:AN6"/>
    <mergeCell ref="AN7:AN10"/>
    <mergeCell ref="AN11:AN14"/>
    <mergeCell ref="AN15:AN18"/>
    <mergeCell ref="AN19:AN22"/>
    <mergeCell ref="AN23:AN26"/>
    <mergeCell ref="AN27:AN30"/>
    <mergeCell ref="AN31:AN34"/>
    <mergeCell ref="AN35:AN38"/>
    <mergeCell ref="AL99:AL103"/>
    <mergeCell ref="AL104:AL107"/>
    <mergeCell ref="AL124:AL127"/>
    <mergeCell ref="AL140:AL143"/>
    <mergeCell ref="AL144:AL147"/>
    <mergeCell ref="AM63:AM66"/>
    <mergeCell ref="AM67:AM70"/>
    <mergeCell ref="AM104:AM107"/>
    <mergeCell ref="AM124:AM127"/>
    <mergeCell ref="AM140:AM143"/>
    <mergeCell ref="AM144:AM147"/>
    <mergeCell ref="AL39:AL42"/>
    <mergeCell ref="AL67:AL70"/>
    <mergeCell ref="AL71:AL74"/>
    <mergeCell ref="AL75:AL78"/>
    <mergeCell ref="AL79:AL82"/>
    <mergeCell ref="AL83:AL86"/>
    <mergeCell ref="AL87:AL90"/>
    <mergeCell ref="AL91:AL94"/>
    <mergeCell ref="AL95:AL98"/>
    <mergeCell ref="AL3:AL6"/>
    <mergeCell ref="AL7:AL10"/>
    <mergeCell ref="AL11:AL14"/>
    <mergeCell ref="AL15:AL18"/>
    <mergeCell ref="AL19:AL22"/>
    <mergeCell ref="AL23:AL26"/>
    <mergeCell ref="AL27:AL30"/>
    <mergeCell ref="AL31:AL34"/>
    <mergeCell ref="AL35:AL38"/>
    <mergeCell ref="AJ104:AJ107"/>
    <mergeCell ref="AJ108:AJ111"/>
    <mergeCell ref="AJ140:AJ143"/>
    <mergeCell ref="AJ144:AJ147"/>
    <mergeCell ref="AK63:AK66"/>
    <mergeCell ref="AK67:AK70"/>
    <mergeCell ref="AK104:AK107"/>
    <mergeCell ref="AK140:AK143"/>
    <mergeCell ref="AK144:AK147"/>
    <mergeCell ref="AH99:AH103"/>
    <mergeCell ref="AH104:AH107"/>
    <mergeCell ref="AI63:AI66"/>
    <mergeCell ref="AI67:AI70"/>
    <mergeCell ref="AI104:AI107"/>
    <mergeCell ref="AJ3:AJ6"/>
    <mergeCell ref="AJ7:AJ10"/>
    <mergeCell ref="AJ11:AJ14"/>
    <mergeCell ref="AJ15:AJ18"/>
    <mergeCell ref="AJ19:AJ22"/>
    <mergeCell ref="AJ23:AJ26"/>
    <mergeCell ref="AJ27:AJ30"/>
    <mergeCell ref="AJ31:AJ34"/>
    <mergeCell ref="AJ35:AJ38"/>
    <mergeCell ref="AJ39:AJ42"/>
    <mergeCell ref="AJ67:AJ70"/>
    <mergeCell ref="AJ71:AJ74"/>
    <mergeCell ref="AJ75:AJ78"/>
    <mergeCell ref="AJ79:AJ82"/>
    <mergeCell ref="AJ83:AJ86"/>
    <mergeCell ref="AJ87:AJ90"/>
    <mergeCell ref="AJ91:AJ94"/>
    <mergeCell ref="AJ95:AJ98"/>
    <mergeCell ref="AJ99:AJ103"/>
    <mergeCell ref="AH39:AH42"/>
    <mergeCell ref="AH67:AH70"/>
    <mergeCell ref="AH71:AH74"/>
    <mergeCell ref="AH75:AH78"/>
    <mergeCell ref="AH79:AH82"/>
    <mergeCell ref="AH83:AH86"/>
    <mergeCell ref="AH87:AH90"/>
    <mergeCell ref="AH91:AH94"/>
    <mergeCell ref="AH95:AH98"/>
    <mergeCell ref="AH3:AH6"/>
    <mergeCell ref="AH7:AH10"/>
    <mergeCell ref="AH11:AH14"/>
    <mergeCell ref="AH15:AH18"/>
    <mergeCell ref="AH19:AH22"/>
    <mergeCell ref="AH23:AH26"/>
    <mergeCell ref="AH27:AH30"/>
    <mergeCell ref="AH31:AH34"/>
    <mergeCell ref="AH35:AH38"/>
    <mergeCell ref="AF124:AF127"/>
    <mergeCell ref="AF140:AF143"/>
    <mergeCell ref="AF144:AF147"/>
    <mergeCell ref="AG63:AG66"/>
    <mergeCell ref="AG67:AG70"/>
    <mergeCell ref="AG104:AG107"/>
    <mergeCell ref="AG124:AG127"/>
    <mergeCell ref="AG140:AG143"/>
    <mergeCell ref="AG144:AG147"/>
    <mergeCell ref="AD104:AD107"/>
    <mergeCell ref="AE63:AE66"/>
    <mergeCell ref="AE67:AE70"/>
    <mergeCell ref="AE104:AE107"/>
    <mergeCell ref="AF3:AF6"/>
    <mergeCell ref="AF7:AF10"/>
    <mergeCell ref="AF11:AF14"/>
    <mergeCell ref="AF15:AF18"/>
    <mergeCell ref="AF19:AF22"/>
    <mergeCell ref="AF23:AF26"/>
    <mergeCell ref="AF27:AF30"/>
    <mergeCell ref="AF31:AF34"/>
    <mergeCell ref="AF35:AF38"/>
    <mergeCell ref="AF39:AF42"/>
    <mergeCell ref="AF67:AF70"/>
    <mergeCell ref="AF71:AF74"/>
    <mergeCell ref="AF75:AF78"/>
    <mergeCell ref="AF79:AF82"/>
    <mergeCell ref="AF83:AF86"/>
    <mergeCell ref="AF87:AF90"/>
    <mergeCell ref="AF91:AF94"/>
    <mergeCell ref="AF95:AF98"/>
    <mergeCell ref="AF99:AF103"/>
    <mergeCell ref="AF104:AF107"/>
    <mergeCell ref="AB99:AB103"/>
    <mergeCell ref="AB104:AB107"/>
    <mergeCell ref="AC63:AC66"/>
    <mergeCell ref="AC67:AC70"/>
    <mergeCell ref="AC104:AC107"/>
    <mergeCell ref="AD3:AD6"/>
    <mergeCell ref="AD7:AD10"/>
    <mergeCell ref="AD11:AD14"/>
    <mergeCell ref="AD15:AD18"/>
    <mergeCell ref="AD19:AD22"/>
    <mergeCell ref="AD23:AD26"/>
    <mergeCell ref="AD27:AD30"/>
    <mergeCell ref="AD31:AD34"/>
    <mergeCell ref="AD35:AD38"/>
    <mergeCell ref="AD39:AD42"/>
    <mergeCell ref="AD67:AD70"/>
    <mergeCell ref="AD71:AD74"/>
    <mergeCell ref="AD75:AD78"/>
    <mergeCell ref="AD79:AD82"/>
    <mergeCell ref="AD83:AD86"/>
    <mergeCell ref="AD87:AD90"/>
    <mergeCell ref="AD91:AD94"/>
    <mergeCell ref="AD95:AD98"/>
    <mergeCell ref="AD99:AD103"/>
    <mergeCell ref="AB39:AB42"/>
    <mergeCell ref="AB67:AB70"/>
    <mergeCell ref="AB71:AB74"/>
    <mergeCell ref="AB75:AB78"/>
    <mergeCell ref="AB79:AB82"/>
    <mergeCell ref="AB83:AB86"/>
    <mergeCell ref="AB87:AB90"/>
    <mergeCell ref="AB91:AB94"/>
    <mergeCell ref="AB95:AB98"/>
    <mergeCell ref="AB3:AB6"/>
    <mergeCell ref="AB7:AB10"/>
    <mergeCell ref="AB11:AB14"/>
    <mergeCell ref="AB15:AB18"/>
    <mergeCell ref="AB19:AB22"/>
    <mergeCell ref="AB23:AB26"/>
    <mergeCell ref="AB27:AB30"/>
    <mergeCell ref="AB31:AB34"/>
    <mergeCell ref="AB35:AB38"/>
    <mergeCell ref="Z99:Z103"/>
    <mergeCell ref="Z104:Z107"/>
    <mergeCell ref="Z124:Z127"/>
    <mergeCell ref="Z140:Z143"/>
    <mergeCell ref="Z144:Z147"/>
    <mergeCell ref="AA63:AA66"/>
    <mergeCell ref="AA67:AA70"/>
    <mergeCell ref="AA104:AA107"/>
    <mergeCell ref="AA124:AA127"/>
    <mergeCell ref="AA140:AA143"/>
    <mergeCell ref="AA144:AA147"/>
    <mergeCell ref="X99:X103"/>
    <mergeCell ref="X104:X107"/>
    <mergeCell ref="X108:X111"/>
    <mergeCell ref="Y63:Y66"/>
    <mergeCell ref="Y67:Y70"/>
    <mergeCell ref="Y104:Y107"/>
    <mergeCell ref="Z3:Z6"/>
    <mergeCell ref="Z7:Z10"/>
    <mergeCell ref="Z11:Z14"/>
    <mergeCell ref="Z15:Z18"/>
    <mergeCell ref="Z19:Z22"/>
    <mergeCell ref="Z23:Z26"/>
    <mergeCell ref="Z27:Z30"/>
    <mergeCell ref="Z31:Z34"/>
    <mergeCell ref="Z35:Z38"/>
    <mergeCell ref="Z39:Z42"/>
    <mergeCell ref="Z67:Z70"/>
    <mergeCell ref="Z71:Z74"/>
    <mergeCell ref="Z75:Z78"/>
    <mergeCell ref="Z79:Z82"/>
    <mergeCell ref="Z83:Z86"/>
    <mergeCell ref="Z87:Z90"/>
    <mergeCell ref="Z91:Z94"/>
    <mergeCell ref="Z95:Z98"/>
    <mergeCell ref="X39:X42"/>
    <mergeCell ref="X67:X70"/>
    <mergeCell ref="X71:X74"/>
    <mergeCell ref="X75:X78"/>
    <mergeCell ref="X79:X82"/>
    <mergeCell ref="X83:X86"/>
    <mergeCell ref="X87:X90"/>
    <mergeCell ref="X91:X94"/>
    <mergeCell ref="X95:X98"/>
    <mergeCell ref="X3:X6"/>
    <mergeCell ref="X7:X10"/>
    <mergeCell ref="X11:X14"/>
    <mergeCell ref="X15:X18"/>
    <mergeCell ref="X19:X22"/>
    <mergeCell ref="X23:X26"/>
    <mergeCell ref="X27:X30"/>
    <mergeCell ref="X31:X34"/>
    <mergeCell ref="X35:X38"/>
    <mergeCell ref="V95:V98"/>
    <mergeCell ref="V99:V103"/>
    <mergeCell ref="V104:V107"/>
    <mergeCell ref="V108:V109"/>
    <mergeCell ref="W27:W30"/>
    <mergeCell ref="W31:W34"/>
    <mergeCell ref="W35:W38"/>
    <mergeCell ref="W39:W42"/>
    <mergeCell ref="W63:W66"/>
    <mergeCell ref="W67:W70"/>
    <mergeCell ref="W104:W107"/>
    <mergeCell ref="W108:W110"/>
    <mergeCell ref="V39:V42"/>
    <mergeCell ref="V63:V66"/>
    <mergeCell ref="V67:V70"/>
    <mergeCell ref="V71:V74"/>
    <mergeCell ref="V75:V78"/>
    <mergeCell ref="V79:V82"/>
    <mergeCell ref="V83:V86"/>
    <mergeCell ref="V87:V90"/>
    <mergeCell ref="V91:V94"/>
    <mergeCell ref="V3:V6"/>
    <mergeCell ref="V7:V10"/>
    <mergeCell ref="V11:V14"/>
    <mergeCell ref="V15:V18"/>
    <mergeCell ref="V19:V22"/>
    <mergeCell ref="V23:V26"/>
    <mergeCell ref="V27:V30"/>
    <mergeCell ref="V31:V34"/>
    <mergeCell ref="V35:V38"/>
    <mergeCell ref="T95:T98"/>
    <mergeCell ref="T99:T103"/>
    <mergeCell ref="T104:T107"/>
    <mergeCell ref="T124:T127"/>
    <mergeCell ref="T140:T143"/>
    <mergeCell ref="T144:T147"/>
    <mergeCell ref="U7:U10"/>
    <mergeCell ref="U47:U50"/>
    <mergeCell ref="U67:U70"/>
    <mergeCell ref="U124:U127"/>
    <mergeCell ref="U140:U143"/>
    <mergeCell ref="U144:U147"/>
    <mergeCell ref="R95:R98"/>
    <mergeCell ref="R99:R103"/>
    <mergeCell ref="R104:R107"/>
    <mergeCell ref="S43:S46"/>
    <mergeCell ref="S63:S66"/>
    <mergeCell ref="S67:S70"/>
    <mergeCell ref="S95:S98"/>
    <mergeCell ref="T3:T6"/>
    <mergeCell ref="T7:T10"/>
    <mergeCell ref="T11:T14"/>
    <mergeCell ref="T15:T18"/>
    <mergeCell ref="T19:T22"/>
    <mergeCell ref="T23:T26"/>
    <mergeCell ref="T27:T30"/>
    <mergeCell ref="T31:T34"/>
    <mergeCell ref="T35:T38"/>
    <mergeCell ref="T39:T42"/>
    <mergeCell ref="T67:T70"/>
    <mergeCell ref="T71:T74"/>
    <mergeCell ref="T75:T78"/>
    <mergeCell ref="T79:T82"/>
    <mergeCell ref="T83:T86"/>
    <mergeCell ref="T87:T90"/>
    <mergeCell ref="T91:T94"/>
    <mergeCell ref="R43:R46"/>
    <mergeCell ref="R63:R66"/>
    <mergeCell ref="R67:R70"/>
    <mergeCell ref="R71:R74"/>
    <mergeCell ref="R75:R78"/>
    <mergeCell ref="R79:R82"/>
    <mergeCell ref="R83:R86"/>
    <mergeCell ref="R87:R90"/>
    <mergeCell ref="R91:R94"/>
    <mergeCell ref="R7:R10"/>
    <mergeCell ref="R11:R14"/>
    <mergeCell ref="R15:R18"/>
    <mergeCell ref="R19:R22"/>
    <mergeCell ref="R23:R26"/>
    <mergeCell ref="R27:R30"/>
    <mergeCell ref="R31:R34"/>
    <mergeCell ref="R35:R38"/>
    <mergeCell ref="R39:R42"/>
    <mergeCell ref="P104:P107"/>
    <mergeCell ref="P108:P111"/>
    <mergeCell ref="P116:P119"/>
    <mergeCell ref="P120:P123"/>
    <mergeCell ref="Q67:Q70"/>
    <mergeCell ref="Q87:Q90"/>
    <mergeCell ref="Q104:Q107"/>
    <mergeCell ref="Q116:Q119"/>
    <mergeCell ref="Q120:Q123"/>
    <mergeCell ref="O124:O127"/>
    <mergeCell ref="O128:O131"/>
    <mergeCell ref="O136:O139"/>
    <mergeCell ref="O140:O143"/>
    <mergeCell ref="O144:O147"/>
    <mergeCell ref="P3:P6"/>
    <mergeCell ref="P7:P10"/>
    <mergeCell ref="P11:P14"/>
    <mergeCell ref="P15:P18"/>
    <mergeCell ref="P19:P22"/>
    <mergeCell ref="P23:P26"/>
    <mergeCell ref="P27:P30"/>
    <mergeCell ref="P31:P34"/>
    <mergeCell ref="P35:P38"/>
    <mergeCell ref="P39:P42"/>
    <mergeCell ref="P43:P46"/>
    <mergeCell ref="P67:P70"/>
    <mergeCell ref="P71:P74"/>
    <mergeCell ref="P75:P78"/>
    <mergeCell ref="P79:P82"/>
    <mergeCell ref="P83:P86"/>
    <mergeCell ref="P91:P94"/>
    <mergeCell ref="P95:P98"/>
    <mergeCell ref="P99:P103"/>
    <mergeCell ref="N104:N107"/>
    <mergeCell ref="N116:N119"/>
    <mergeCell ref="N124:N127"/>
    <mergeCell ref="N128:N131"/>
    <mergeCell ref="N136:N139"/>
    <mergeCell ref="N140:N143"/>
    <mergeCell ref="N144:N147"/>
    <mergeCell ref="O7:O10"/>
    <mergeCell ref="O11:O14"/>
    <mergeCell ref="O15:O18"/>
    <mergeCell ref="O19:O22"/>
    <mergeCell ref="O23:O26"/>
    <mergeCell ref="O27:O30"/>
    <mergeCell ref="O31:O34"/>
    <mergeCell ref="O35:O38"/>
    <mergeCell ref="O39:O42"/>
    <mergeCell ref="O43:O46"/>
    <mergeCell ref="O47:O50"/>
    <mergeCell ref="O51:O54"/>
    <mergeCell ref="O55:O58"/>
    <mergeCell ref="O59:O62"/>
    <mergeCell ref="O63:O66"/>
    <mergeCell ref="O67:O70"/>
    <mergeCell ref="O116:O119"/>
    <mergeCell ref="M144:M147"/>
    <mergeCell ref="N3:N6"/>
    <mergeCell ref="N7:N10"/>
    <mergeCell ref="N11:N14"/>
    <mergeCell ref="N15:N18"/>
    <mergeCell ref="N19:N22"/>
    <mergeCell ref="N23:N26"/>
    <mergeCell ref="N27:N30"/>
    <mergeCell ref="N31:N34"/>
    <mergeCell ref="N35:N38"/>
    <mergeCell ref="N39:N42"/>
    <mergeCell ref="N47:N50"/>
    <mergeCell ref="N55:N58"/>
    <mergeCell ref="N59:N62"/>
    <mergeCell ref="N63:N66"/>
    <mergeCell ref="N67:N70"/>
    <mergeCell ref="N71:N74"/>
    <mergeCell ref="N75:N78"/>
    <mergeCell ref="N79:N82"/>
    <mergeCell ref="N83:N86"/>
    <mergeCell ref="N87:N90"/>
    <mergeCell ref="N91:N94"/>
    <mergeCell ref="N95:N98"/>
    <mergeCell ref="N99:N103"/>
    <mergeCell ref="M75:M78"/>
    <mergeCell ref="M79:M82"/>
    <mergeCell ref="M83:M86"/>
    <mergeCell ref="M91:M94"/>
    <mergeCell ref="M104:M107"/>
    <mergeCell ref="M108:M111"/>
    <mergeCell ref="M112:M115"/>
    <mergeCell ref="M120:M123"/>
    <mergeCell ref="M140:M143"/>
    <mergeCell ref="M35:M38"/>
    <mergeCell ref="M43:M46"/>
    <mergeCell ref="M47:M50"/>
    <mergeCell ref="M51:M54"/>
    <mergeCell ref="M55:M58"/>
    <mergeCell ref="M59:M62"/>
    <mergeCell ref="M63:M66"/>
    <mergeCell ref="M67:M70"/>
    <mergeCell ref="M71:M74"/>
    <mergeCell ref="L99:L103"/>
    <mergeCell ref="L104:L107"/>
    <mergeCell ref="L108:L111"/>
    <mergeCell ref="L112:L115"/>
    <mergeCell ref="L120:L121"/>
    <mergeCell ref="L122:L123"/>
    <mergeCell ref="L124:L127"/>
    <mergeCell ref="L140:L143"/>
    <mergeCell ref="L144:L147"/>
    <mergeCell ref="K108:K111"/>
    <mergeCell ref="K120:K123"/>
    <mergeCell ref="L3:L6"/>
    <mergeCell ref="L11:L14"/>
    <mergeCell ref="L15:L18"/>
    <mergeCell ref="L19:L22"/>
    <mergeCell ref="L23:L26"/>
    <mergeCell ref="L27:L30"/>
    <mergeCell ref="L31:L34"/>
    <mergeCell ref="L35:L38"/>
    <mergeCell ref="L39:L42"/>
    <mergeCell ref="L43:L46"/>
    <mergeCell ref="L47:L50"/>
    <mergeCell ref="L55:L58"/>
    <mergeCell ref="L59:L62"/>
    <mergeCell ref="L63:L66"/>
    <mergeCell ref="L67:L70"/>
    <mergeCell ref="L71:L74"/>
    <mergeCell ref="L75:L78"/>
    <mergeCell ref="L79:L82"/>
    <mergeCell ref="L83:L86"/>
    <mergeCell ref="L87:L90"/>
    <mergeCell ref="L91:L94"/>
    <mergeCell ref="L95:L98"/>
    <mergeCell ref="K35:K38"/>
    <mergeCell ref="K43:K46"/>
    <mergeCell ref="K47:K50"/>
    <mergeCell ref="K51:K54"/>
    <mergeCell ref="K55:K58"/>
    <mergeCell ref="K59:K62"/>
    <mergeCell ref="K63:K66"/>
    <mergeCell ref="K67:K70"/>
    <mergeCell ref="K91:K94"/>
    <mergeCell ref="I140:I143"/>
    <mergeCell ref="I144:I147"/>
    <mergeCell ref="J3:J6"/>
    <mergeCell ref="J7:J10"/>
    <mergeCell ref="J11:J14"/>
    <mergeCell ref="J15:J18"/>
    <mergeCell ref="J19:J22"/>
    <mergeCell ref="J23:J26"/>
    <mergeCell ref="J27:J30"/>
    <mergeCell ref="J31:J34"/>
    <mergeCell ref="J35:J38"/>
    <mergeCell ref="J39:J42"/>
    <mergeCell ref="J47:J50"/>
    <mergeCell ref="J55:J58"/>
    <mergeCell ref="J59:J62"/>
    <mergeCell ref="J63:J66"/>
    <mergeCell ref="J67:J70"/>
    <mergeCell ref="J87:J90"/>
    <mergeCell ref="J91:J94"/>
    <mergeCell ref="J95:J98"/>
    <mergeCell ref="J99:J103"/>
    <mergeCell ref="J140:J143"/>
    <mergeCell ref="J144:J147"/>
    <mergeCell ref="H140:H143"/>
    <mergeCell ref="H144:H147"/>
    <mergeCell ref="I3:I6"/>
    <mergeCell ref="I7:I10"/>
    <mergeCell ref="I11:I14"/>
    <mergeCell ref="I15:I18"/>
    <mergeCell ref="I19:I22"/>
    <mergeCell ref="I23:I26"/>
    <mergeCell ref="I27:I30"/>
    <mergeCell ref="I31:I34"/>
    <mergeCell ref="I35:I38"/>
    <mergeCell ref="I43:I46"/>
    <mergeCell ref="I47:I50"/>
    <mergeCell ref="I51:I54"/>
    <mergeCell ref="I55:I58"/>
    <mergeCell ref="I59:I62"/>
    <mergeCell ref="I63:I66"/>
    <mergeCell ref="I67:I70"/>
    <mergeCell ref="I87:I90"/>
    <mergeCell ref="I91:I94"/>
    <mergeCell ref="I95:I98"/>
    <mergeCell ref="I99:I103"/>
    <mergeCell ref="I104:I107"/>
    <mergeCell ref="I124:I127"/>
    <mergeCell ref="G136:G139"/>
    <mergeCell ref="H3:H6"/>
    <mergeCell ref="H11:H14"/>
    <mergeCell ref="H39:H42"/>
    <mergeCell ref="H47:H50"/>
    <mergeCell ref="H55:H58"/>
    <mergeCell ref="H59:H62"/>
    <mergeCell ref="H67:H70"/>
    <mergeCell ref="H87:H90"/>
    <mergeCell ref="H91:H94"/>
    <mergeCell ref="H95:H98"/>
    <mergeCell ref="H99:H103"/>
    <mergeCell ref="H104:H107"/>
    <mergeCell ref="H124:H127"/>
    <mergeCell ref="F144:F147"/>
    <mergeCell ref="G3:G6"/>
    <mergeCell ref="G7:G10"/>
    <mergeCell ref="G11:G14"/>
    <mergeCell ref="G15:G18"/>
    <mergeCell ref="G19:G22"/>
    <mergeCell ref="G23:G26"/>
    <mergeCell ref="G27:G30"/>
    <mergeCell ref="G31:G34"/>
    <mergeCell ref="G35:G38"/>
    <mergeCell ref="G39:G42"/>
    <mergeCell ref="G43:G46"/>
    <mergeCell ref="G47:G50"/>
    <mergeCell ref="G59:G62"/>
    <mergeCell ref="G63:G66"/>
    <mergeCell ref="G67:G70"/>
    <mergeCell ref="G71:G74"/>
    <mergeCell ref="G75:G78"/>
    <mergeCell ref="G79:G82"/>
    <mergeCell ref="G83:G86"/>
    <mergeCell ref="G87:G90"/>
    <mergeCell ref="G91:G94"/>
    <mergeCell ref="G104:G107"/>
    <mergeCell ref="G108:G111"/>
    <mergeCell ref="F79:F82"/>
    <mergeCell ref="F83:F86"/>
    <mergeCell ref="F87:F90"/>
    <mergeCell ref="F91:F94"/>
    <mergeCell ref="F95:F98"/>
    <mergeCell ref="F99:F102"/>
    <mergeCell ref="F104:F107"/>
    <mergeCell ref="F136:F139"/>
    <mergeCell ref="F140:F143"/>
    <mergeCell ref="D112:D115"/>
    <mergeCell ref="D116:D119"/>
    <mergeCell ref="D120:D123"/>
    <mergeCell ref="D124:D127"/>
    <mergeCell ref="D128:D131"/>
    <mergeCell ref="D136:D139"/>
    <mergeCell ref="D140:D143"/>
    <mergeCell ref="D144:D147"/>
    <mergeCell ref="F3:F6"/>
    <mergeCell ref="F7:F10"/>
    <mergeCell ref="F11:F14"/>
    <mergeCell ref="F15:F18"/>
    <mergeCell ref="F19:F22"/>
    <mergeCell ref="F23:F26"/>
    <mergeCell ref="F27:F30"/>
    <mergeCell ref="F31:F34"/>
    <mergeCell ref="F35:F38"/>
    <mergeCell ref="F39:F42"/>
    <mergeCell ref="F47:F50"/>
    <mergeCell ref="F59:F62"/>
    <mergeCell ref="F63:F66"/>
    <mergeCell ref="F67:F70"/>
    <mergeCell ref="F71:F74"/>
    <mergeCell ref="F75:F78"/>
    <mergeCell ref="D75:D78"/>
    <mergeCell ref="D79:D82"/>
    <mergeCell ref="D83:D86"/>
    <mergeCell ref="D87:D90"/>
    <mergeCell ref="D91:D94"/>
    <mergeCell ref="D95:D98"/>
    <mergeCell ref="D99:D103"/>
    <mergeCell ref="D104:D107"/>
    <mergeCell ref="D108:D111"/>
    <mergeCell ref="C120:C123"/>
    <mergeCell ref="C124:C127"/>
    <mergeCell ref="C128:C131"/>
    <mergeCell ref="C136:C139"/>
    <mergeCell ref="C140:C143"/>
    <mergeCell ref="C144:C147"/>
    <mergeCell ref="D3:D6"/>
    <mergeCell ref="D7:D10"/>
    <mergeCell ref="D11:D14"/>
    <mergeCell ref="D15:D18"/>
    <mergeCell ref="D19:D22"/>
    <mergeCell ref="D23:D26"/>
    <mergeCell ref="D27:D30"/>
    <mergeCell ref="D31:D34"/>
    <mergeCell ref="D35:D38"/>
    <mergeCell ref="D39:D42"/>
    <mergeCell ref="D43:D46"/>
    <mergeCell ref="D47:D50"/>
    <mergeCell ref="D51:D54"/>
    <mergeCell ref="D55:D58"/>
    <mergeCell ref="D59:D62"/>
    <mergeCell ref="D63:D66"/>
    <mergeCell ref="D67:D70"/>
    <mergeCell ref="D71:D74"/>
    <mergeCell ref="C83:C86"/>
    <mergeCell ref="C87:C90"/>
    <mergeCell ref="C91:C94"/>
    <mergeCell ref="C95:C98"/>
    <mergeCell ref="C99:C103"/>
    <mergeCell ref="C104:C107"/>
    <mergeCell ref="C108:C111"/>
    <mergeCell ref="C112:C115"/>
    <mergeCell ref="C116:C119"/>
    <mergeCell ref="B132:B135"/>
    <mergeCell ref="B136:B139"/>
    <mergeCell ref="B140:B143"/>
    <mergeCell ref="B144:B147"/>
    <mergeCell ref="C3:C6"/>
    <mergeCell ref="C7:C10"/>
    <mergeCell ref="C11:C14"/>
    <mergeCell ref="C15:C18"/>
    <mergeCell ref="C19:C22"/>
    <mergeCell ref="C23:C26"/>
    <mergeCell ref="C27:C30"/>
    <mergeCell ref="C31:C34"/>
    <mergeCell ref="C35:C38"/>
    <mergeCell ref="C39:C42"/>
    <mergeCell ref="C43:C46"/>
    <mergeCell ref="C47:C50"/>
    <mergeCell ref="C51:C54"/>
    <mergeCell ref="C55:C58"/>
    <mergeCell ref="C59:C62"/>
    <mergeCell ref="C63:C66"/>
    <mergeCell ref="C67:C70"/>
    <mergeCell ref="C71:C74"/>
    <mergeCell ref="C75:C78"/>
    <mergeCell ref="C79:C82"/>
    <mergeCell ref="B95:B98"/>
    <mergeCell ref="B99:B103"/>
    <mergeCell ref="B104:B107"/>
    <mergeCell ref="B108:B111"/>
    <mergeCell ref="B112:B115"/>
    <mergeCell ref="B116:B119"/>
    <mergeCell ref="B120:B123"/>
    <mergeCell ref="B124:B127"/>
    <mergeCell ref="B128:B131"/>
    <mergeCell ref="A144:A147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B87:B90"/>
    <mergeCell ref="B91:B94"/>
    <mergeCell ref="A108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71:A74"/>
    <mergeCell ref="A75:A78"/>
    <mergeCell ref="A79:A82"/>
    <mergeCell ref="A83:A86"/>
    <mergeCell ref="A87:A90"/>
    <mergeCell ref="A91:A94"/>
    <mergeCell ref="A95:A98"/>
    <mergeCell ref="A99:A103"/>
    <mergeCell ref="A104:A107"/>
    <mergeCell ref="A35:A38"/>
    <mergeCell ref="A39:A42"/>
    <mergeCell ref="A43:A46"/>
    <mergeCell ref="A47:A50"/>
    <mergeCell ref="A51:A54"/>
    <mergeCell ref="A55:A58"/>
    <mergeCell ref="A59:A62"/>
    <mergeCell ref="A63:A66"/>
    <mergeCell ref="A67:A70"/>
    <mergeCell ref="AN1:AO1"/>
    <mergeCell ref="A3:A6"/>
    <mergeCell ref="A7:A10"/>
    <mergeCell ref="A11:A14"/>
    <mergeCell ref="A15:A18"/>
    <mergeCell ref="A19:A22"/>
    <mergeCell ref="A23:A26"/>
    <mergeCell ref="A27:A30"/>
    <mergeCell ref="A31:A34"/>
    <mergeCell ref="K7:K10"/>
    <mergeCell ref="K11:K14"/>
    <mergeCell ref="K15:K18"/>
    <mergeCell ref="K19:K22"/>
    <mergeCell ref="K23:K26"/>
    <mergeCell ref="K27:K30"/>
    <mergeCell ref="K31:K34"/>
    <mergeCell ref="M7:M10"/>
    <mergeCell ref="M11:M14"/>
    <mergeCell ref="M15:M18"/>
    <mergeCell ref="M19:M22"/>
    <mergeCell ref="M23:M26"/>
    <mergeCell ref="M27:M30"/>
    <mergeCell ref="M31:M34"/>
    <mergeCell ref="R3:R6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C1:E1"/>
    <mergeCell ref="F1:G1"/>
    <mergeCell ref="H1:I1"/>
    <mergeCell ref="J1:K1"/>
    <mergeCell ref="L1:M1"/>
    <mergeCell ref="N1:O1"/>
    <mergeCell ref="P1:Q1"/>
    <mergeCell ref="R1:S1"/>
    <mergeCell ref="T1:U1"/>
  </mergeCells>
  <hyperlinks>
    <hyperlink ref="E13" location="'Royal Enfield'!A1" display="Royal Enfield'!A1" xr:uid="{00000000-0004-0000-0100-000000000000}"/>
    <hyperlink ref="E17" location="'DD Vaishanv College'!A1" display="DD Vaishanv College'!A1" xr:uid="{00000000-0004-0000-0100-000001000000}"/>
    <hyperlink ref="E5" location="Dailmer!A1" display="Dailmer!A1" xr:uid="{00000000-0004-0000-0100-000002000000}"/>
    <hyperlink ref="E9" location="'Ashok Leyland'!A1" display="Ashok Leyland'!A1" xr:uid="{00000000-0004-0000-0100-000003000000}"/>
    <hyperlink ref="E21" location="'KONE Elevator India P.Ltd'!A1" display="KONE Elevator India P.Ltd'!A1" xr:uid="{00000000-0004-0000-0100-000004000000}"/>
    <hyperlink ref="E29" location="'Enerji System Pvt Ltd'!A1" display="Enerji System Pvt Ltd'!A1" xr:uid="{00000000-0004-0000-0100-000005000000}"/>
    <hyperlink ref="E41" location="'Padmapriya Hospital'!A1" display="Padmapriya Hospital'!A1" xr:uid="{00000000-0004-0000-0100-000006000000}"/>
    <hyperlink ref="E45" location="'Vlead Design'!A1" display="Vlead Design'!A1" xr:uid="{00000000-0004-0000-0100-000007000000}"/>
    <hyperlink ref="E49" location="'Dailmer(CAMC)'!A1" display="Dailmer(CAMC)'!A1" xr:uid="{00000000-0004-0000-0100-000008000000}"/>
    <hyperlink ref="E53" location="'TAGROS CAMC'!A1" display="TAGROS CAMC'!A1" xr:uid="{00000000-0004-0000-0100-000009000000}"/>
    <hyperlink ref="E57" location="JOVE!A1" display="JOVE!A1" xr:uid="{00000000-0004-0000-0100-00000A000000}"/>
    <hyperlink ref="E61" location="Jawahar!A1" display="Jawahar!A1" xr:uid="{00000000-0004-0000-0100-00000B000000}"/>
    <hyperlink ref="E69" location="'TAGROS CAMC'!A1" display="TAGROS CAMC'!A1" xr:uid="{00000000-0004-0000-0100-00000C000000}"/>
    <hyperlink ref="E33" location="'Enerji System Pvt Ltd'!A1" display="Enerji System Pvt Ltd'!A1" xr:uid="{00000000-0004-0000-0100-00000D000000}"/>
    <hyperlink ref="E37" location="'Enerji System Pvt Ltd'!A1" display="Enerji System Pvt Ltd'!A1" xr:uid="{00000000-0004-0000-0100-00000E000000}"/>
    <hyperlink ref="E25" location="'KONE Elevator India P.Ltd'!A1" display="KONE Elevator India P.Ltd'!A1" xr:uid="{00000000-0004-0000-0100-00000F000000}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F751-3D9C-4999-887B-A5D7F5C564C7}">
  <dimension ref="D1:G4"/>
  <sheetViews>
    <sheetView workbookViewId="0">
      <selection activeCell="G2" sqref="G2"/>
    </sheetView>
  </sheetViews>
  <sheetFormatPr defaultRowHeight="14.4"/>
  <cols>
    <col min="4" max="4" width="14" bestFit="1" customWidth="1"/>
    <col min="5" max="5" width="21.3125" bestFit="1" customWidth="1"/>
  </cols>
  <sheetData>
    <row r="1" spans="4:7">
      <c r="F1" s="1040" t="s">
        <v>758</v>
      </c>
      <c r="G1" s="1040" t="s">
        <v>759</v>
      </c>
    </row>
    <row r="2" spans="4:7">
      <c r="D2" s="1040" t="s">
        <v>754</v>
      </c>
      <c r="E2" s="1040" t="s">
        <v>755</v>
      </c>
      <c r="F2">
        <v>594638</v>
      </c>
      <c r="G2">
        <f>F2*100/107</f>
        <v>555736.44859813084</v>
      </c>
    </row>
    <row r="3" spans="4:7">
      <c r="D3" s="1040" t="s">
        <v>756</v>
      </c>
      <c r="E3" s="1040" t="s">
        <v>757</v>
      </c>
      <c r="F3">
        <v>693745</v>
      </c>
      <c r="G3">
        <f>F3*100/107</f>
        <v>648359.81308411213</v>
      </c>
    </row>
    <row r="4" spans="4:7">
      <c r="G4">
        <f>SUM(G2:G3)</f>
        <v>1204096.2616822431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>
      <selection sqref="A1:C1"/>
    </sheetView>
  </sheetViews>
  <sheetFormatPr defaultColWidth="9" defaultRowHeight="14.4"/>
  <cols>
    <col min="1" max="1" width="6.41796875" customWidth="1"/>
    <col min="2" max="2" width="53.5234375" customWidth="1"/>
    <col min="3" max="3" width="8.89453125" customWidth="1"/>
  </cols>
  <sheetData>
    <row r="1" spans="1:3" ht="15.3">
      <c r="A1" s="1713" t="s">
        <v>439</v>
      </c>
      <c r="B1" s="1714"/>
      <c r="C1" s="1715"/>
    </row>
    <row r="2" spans="1:3" ht="15.3">
      <c r="A2" s="99" t="s">
        <v>440</v>
      </c>
      <c r="B2" s="81" t="s">
        <v>441</v>
      </c>
      <c r="C2" s="100" t="s">
        <v>442</v>
      </c>
    </row>
    <row r="3" spans="1:3" ht="15.3">
      <c r="A3" s="99">
        <v>1</v>
      </c>
      <c r="B3" s="81" t="s">
        <v>443</v>
      </c>
      <c r="C3" s="100">
        <v>3</v>
      </c>
    </row>
    <row r="4" spans="1:3" ht="15.3">
      <c r="A4" s="99">
        <v>2</v>
      </c>
      <c r="B4" s="81" t="s">
        <v>444</v>
      </c>
      <c r="C4" s="100">
        <v>1</v>
      </c>
    </row>
    <row r="5" spans="1:3" ht="15.3">
      <c r="A5" s="99">
        <v>3</v>
      </c>
      <c r="B5" s="81" t="s">
        <v>445</v>
      </c>
      <c r="C5" s="100">
        <v>1</v>
      </c>
    </row>
    <row r="6" spans="1:3" ht="15.3">
      <c r="A6" s="101">
        <v>4</v>
      </c>
      <c r="B6" s="102" t="s">
        <v>446</v>
      </c>
      <c r="C6" s="103">
        <v>2</v>
      </c>
    </row>
    <row r="8" spans="1:3" ht="15.3">
      <c r="A8" s="1713" t="s">
        <v>447</v>
      </c>
      <c r="B8" s="1714"/>
      <c r="C8" s="1715"/>
    </row>
    <row r="9" spans="1:3" ht="15.3">
      <c r="A9" s="99" t="s">
        <v>440</v>
      </c>
      <c r="B9" s="81" t="s">
        <v>441</v>
      </c>
      <c r="C9" s="100" t="s">
        <v>442</v>
      </c>
    </row>
    <row r="10" spans="1:3" ht="15.3">
      <c r="A10" s="99">
        <v>1</v>
      </c>
      <c r="B10" s="81" t="s">
        <v>448</v>
      </c>
      <c r="C10" s="100">
        <v>1</v>
      </c>
    </row>
    <row r="11" spans="1:3" ht="15.3">
      <c r="A11" s="99">
        <v>2</v>
      </c>
      <c r="B11" s="81" t="s">
        <v>449</v>
      </c>
      <c r="C11" s="100">
        <v>6</v>
      </c>
    </row>
    <row r="12" spans="1:3" ht="15.3">
      <c r="A12" s="101">
        <v>3</v>
      </c>
      <c r="B12" s="102" t="s">
        <v>450</v>
      </c>
      <c r="C12" s="103">
        <v>6</v>
      </c>
    </row>
    <row r="14" spans="1:3" ht="15.3">
      <c r="A14" s="1713" t="s">
        <v>451</v>
      </c>
      <c r="B14" s="1714"/>
      <c r="C14" s="1715"/>
    </row>
    <row r="15" spans="1:3" ht="15.3">
      <c r="A15" s="99" t="s">
        <v>440</v>
      </c>
      <c r="B15" s="81" t="s">
        <v>441</v>
      </c>
      <c r="C15" s="100" t="s">
        <v>442</v>
      </c>
    </row>
    <row r="16" spans="1:3" ht="15.3">
      <c r="A16" s="99">
        <v>1</v>
      </c>
      <c r="B16" s="81" t="s">
        <v>452</v>
      </c>
      <c r="C16" s="100">
        <v>3</v>
      </c>
    </row>
    <row r="17" spans="1:3" ht="15.3">
      <c r="A17" s="99">
        <v>2</v>
      </c>
      <c r="B17" s="81" t="s">
        <v>453</v>
      </c>
      <c r="C17" s="100">
        <v>1</v>
      </c>
    </row>
    <row r="18" spans="1:3" ht="15.3">
      <c r="A18" s="99">
        <v>3</v>
      </c>
      <c r="B18" s="81" t="s">
        <v>454</v>
      </c>
      <c r="C18" s="100">
        <v>1</v>
      </c>
    </row>
    <row r="19" spans="1:3" ht="15.3">
      <c r="A19" s="99">
        <v>4</v>
      </c>
      <c r="B19" s="81" t="s">
        <v>455</v>
      </c>
      <c r="C19" s="100">
        <v>3</v>
      </c>
    </row>
    <row r="20" spans="1:3" ht="15.3">
      <c r="A20" s="99">
        <v>5</v>
      </c>
      <c r="B20" s="81" t="s">
        <v>456</v>
      </c>
      <c r="C20" s="100">
        <v>1</v>
      </c>
    </row>
    <row r="21" spans="1:3" ht="15.3">
      <c r="A21" s="99">
        <v>6</v>
      </c>
      <c r="B21" s="81" t="s">
        <v>457</v>
      </c>
      <c r="C21" s="100">
        <v>1</v>
      </c>
    </row>
    <row r="22" spans="1:3" ht="15.3">
      <c r="A22" s="99">
        <v>7</v>
      </c>
      <c r="B22" s="81" t="s">
        <v>458</v>
      </c>
      <c r="C22" s="100">
        <v>5</v>
      </c>
    </row>
    <row r="23" spans="1:3" ht="15.3">
      <c r="A23" s="101">
        <v>8</v>
      </c>
      <c r="B23" s="102" t="s">
        <v>459</v>
      </c>
      <c r="C23" s="103">
        <v>12</v>
      </c>
    </row>
  </sheetData>
  <mergeCells count="3">
    <mergeCell ref="A1:C1"/>
    <mergeCell ref="A8:C8"/>
    <mergeCell ref="A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ColWidth="9" defaultRowHeight="14.4"/>
  <cols>
    <col min="2" max="2" width="34" customWidth="1"/>
  </cols>
  <sheetData>
    <row r="1" spans="1:3" ht="15.3">
      <c r="A1" s="96" t="s">
        <v>460</v>
      </c>
      <c r="B1" s="97" t="s">
        <v>461</v>
      </c>
      <c r="C1" s="98" t="s">
        <v>462</v>
      </c>
    </row>
    <row r="2" spans="1:3" ht="15.3">
      <c r="A2" s="99">
        <v>1</v>
      </c>
      <c r="B2" s="81" t="s">
        <v>463</v>
      </c>
      <c r="C2" s="100">
        <v>9</v>
      </c>
    </row>
    <row r="3" spans="1:3" ht="15.3">
      <c r="A3" s="99">
        <v>2</v>
      </c>
      <c r="B3" s="81" t="s">
        <v>464</v>
      </c>
      <c r="C3" s="100">
        <v>1</v>
      </c>
    </row>
    <row r="4" spans="1:3" ht="15.3">
      <c r="A4" s="99">
        <v>3</v>
      </c>
      <c r="B4" s="81" t="s">
        <v>465</v>
      </c>
      <c r="C4" s="100">
        <v>5</v>
      </c>
    </row>
    <row r="5" spans="1:3" ht="15.3">
      <c r="A5" s="99">
        <v>4</v>
      </c>
      <c r="B5" s="81" t="s">
        <v>466</v>
      </c>
      <c r="C5" s="100">
        <v>7</v>
      </c>
    </row>
    <row r="6" spans="1:3" ht="15.3">
      <c r="A6" s="99">
        <v>5</v>
      </c>
      <c r="B6" s="81" t="s">
        <v>467</v>
      </c>
      <c r="C6" s="100">
        <v>1</v>
      </c>
    </row>
    <row r="7" spans="1:3" ht="15.3">
      <c r="A7" s="99">
        <v>6</v>
      </c>
      <c r="B7" s="81" t="s">
        <v>468</v>
      </c>
      <c r="C7" s="100">
        <v>2</v>
      </c>
    </row>
    <row r="8" spans="1:3" ht="15.3">
      <c r="A8" s="101">
        <v>7</v>
      </c>
      <c r="B8" s="102" t="s">
        <v>469</v>
      </c>
      <c r="C8" s="103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>
      <selection activeCell="I17" sqref="I17"/>
    </sheetView>
  </sheetViews>
  <sheetFormatPr defaultColWidth="9" defaultRowHeight="14.4"/>
  <cols>
    <col min="1" max="1" width="7.5234375" customWidth="1"/>
    <col min="2" max="2" width="34.5234375" customWidth="1"/>
    <col min="3" max="3" width="16.5234375" customWidth="1"/>
    <col min="4" max="4" width="21.41796875" customWidth="1"/>
  </cols>
  <sheetData>
    <row r="1" spans="1:4" ht="60">
      <c r="A1" s="88" t="s">
        <v>470</v>
      </c>
      <c r="B1" s="89" t="s">
        <v>471</v>
      </c>
      <c r="C1" s="112" t="s">
        <v>472</v>
      </c>
      <c r="D1" s="113" t="s">
        <v>473</v>
      </c>
    </row>
    <row r="2" spans="1:4" ht="15.3">
      <c r="A2" s="91">
        <v>1</v>
      </c>
      <c r="B2" s="114" t="s">
        <v>474</v>
      </c>
      <c r="C2" s="83">
        <v>68</v>
      </c>
      <c r="D2" s="92">
        <v>143</v>
      </c>
    </row>
    <row r="3" spans="1:4" ht="15.3">
      <c r="A3" s="91">
        <v>2</v>
      </c>
      <c r="B3" s="83" t="s">
        <v>466</v>
      </c>
      <c r="C3" s="83">
        <v>59</v>
      </c>
      <c r="D3" s="92">
        <v>124</v>
      </c>
    </row>
    <row r="4" spans="1:4" ht="15.3">
      <c r="A4" s="91">
        <v>3</v>
      </c>
      <c r="B4" s="83" t="s">
        <v>475</v>
      </c>
      <c r="C4" s="83">
        <v>56</v>
      </c>
      <c r="D4" s="92">
        <v>143</v>
      </c>
    </row>
    <row r="5" spans="1:4" ht="15.3">
      <c r="A5" s="91">
        <v>4</v>
      </c>
      <c r="B5" s="83" t="s">
        <v>476</v>
      </c>
      <c r="C5" s="83">
        <v>12</v>
      </c>
      <c r="D5" s="92">
        <v>58</v>
      </c>
    </row>
    <row r="6" spans="1:4" ht="15.3">
      <c r="A6" s="91">
        <v>5</v>
      </c>
      <c r="B6" s="83" t="s">
        <v>477</v>
      </c>
      <c r="C6" s="83">
        <v>10</v>
      </c>
      <c r="D6" s="92">
        <v>26</v>
      </c>
    </row>
    <row r="7" spans="1:4" ht="15.3">
      <c r="A7" s="91">
        <v>6</v>
      </c>
      <c r="B7" s="83" t="s">
        <v>478</v>
      </c>
      <c r="C7" s="83">
        <v>14</v>
      </c>
      <c r="D7" s="92">
        <v>72</v>
      </c>
    </row>
    <row r="8" spans="1:4" ht="15.3">
      <c r="A8" s="91">
        <v>7</v>
      </c>
      <c r="B8" s="83" t="s">
        <v>479</v>
      </c>
      <c r="C8" s="83">
        <v>14</v>
      </c>
      <c r="D8" s="92">
        <v>45</v>
      </c>
    </row>
    <row r="9" spans="1:4" ht="15.3">
      <c r="A9" s="91">
        <v>8</v>
      </c>
      <c r="B9" s="83" t="s">
        <v>480</v>
      </c>
      <c r="C9" s="83">
        <v>26</v>
      </c>
      <c r="D9" s="92">
        <v>10</v>
      </c>
    </row>
    <row r="10" spans="1:4" ht="15.3">
      <c r="A10" s="91">
        <v>9</v>
      </c>
      <c r="B10" s="83" t="s">
        <v>481</v>
      </c>
      <c r="C10" s="83">
        <v>0</v>
      </c>
      <c r="D10" s="92">
        <v>8</v>
      </c>
    </row>
    <row r="11" spans="1:4" ht="15.3">
      <c r="A11" s="91">
        <v>10</v>
      </c>
      <c r="B11" s="83" t="s">
        <v>482</v>
      </c>
      <c r="C11" s="83">
        <v>1</v>
      </c>
      <c r="D11" s="92">
        <v>3</v>
      </c>
    </row>
    <row r="12" spans="1:4" ht="15.3">
      <c r="A12" s="91">
        <v>11</v>
      </c>
      <c r="B12" s="83" t="s">
        <v>483</v>
      </c>
      <c r="C12" s="83">
        <v>0</v>
      </c>
      <c r="D12" s="92">
        <v>2</v>
      </c>
    </row>
    <row r="13" spans="1:4" ht="15.3">
      <c r="A13" s="91">
        <v>12</v>
      </c>
      <c r="B13" s="83" t="s">
        <v>484</v>
      </c>
      <c r="C13" s="83">
        <v>0</v>
      </c>
      <c r="D13" s="92">
        <v>2</v>
      </c>
    </row>
    <row r="14" spans="1:4" ht="15.3">
      <c r="A14" s="91">
        <v>13</v>
      </c>
      <c r="B14" s="83" t="s">
        <v>485</v>
      </c>
      <c r="C14" s="83">
        <v>0</v>
      </c>
      <c r="D14" s="92">
        <v>2</v>
      </c>
    </row>
    <row r="15" spans="1:4" ht="15.3">
      <c r="A15" s="91">
        <v>14</v>
      </c>
      <c r="B15" s="83" t="s">
        <v>486</v>
      </c>
      <c r="C15" s="83">
        <v>0</v>
      </c>
      <c r="D15" s="92">
        <v>4</v>
      </c>
    </row>
    <row r="16" spans="1:4" ht="15.3">
      <c r="A16" s="91">
        <v>15</v>
      </c>
      <c r="B16" s="83" t="s">
        <v>487</v>
      </c>
      <c r="C16" s="83">
        <v>0</v>
      </c>
      <c r="D16" s="92">
        <v>1</v>
      </c>
    </row>
    <row r="17" spans="1:4" ht="15.3">
      <c r="A17" s="91">
        <v>16</v>
      </c>
      <c r="B17" s="83" t="s">
        <v>488</v>
      </c>
      <c r="C17" s="83">
        <v>0</v>
      </c>
      <c r="D17" s="92">
        <v>1</v>
      </c>
    </row>
    <row r="18" spans="1:4" ht="15.3">
      <c r="A18" s="91">
        <v>17</v>
      </c>
      <c r="B18" s="83" t="s">
        <v>489</v>
      </c>
      <c r="C18" s="83">
        <v>1</v>
      </c>
      <c r="D18" s="92">
        <v>5</v>
      </c>
    </row>
    <row r="19" spans="1:4" ht="15.3">
      <c r="A19" s="91">
        <v>18</v>
      </c>
      <c r="B19" s="83" t="s">
        <v>490</v>
      </c>
      <c r="C19" s="83">
        <v>4</v>
      </c>
      <c r="D19" s="92">
        <v>0</v>
      </c>
    </row>
    <row r="20" spans="1:4" ht="15.3">
      <c r="A20" s="91">
        <v>19</v>
      </c>
      <c r="B20" s="83" t="s">
        <v>491</v>
      </c>
      <c r="C20" s="83">
        <v>8</v>
      </c>
      <c r="D20" s="92">
        <v>6</v>
      </c>
    </row>
    <row r="21" spans="1:4" ht="15.3">
      <c r="A21" s="91">
        <v>20</v>
      </c>
      <c r="B21" s="83" t="s">
        <v>492</v>
      </c>
      <c r="C21" s="83">
        <v>2</v>
      </c>
      <c r="D21" s="92">
        <v>1</v>
      </c>
    </row>
    <row r="22" spans="1:4" ht="15.3">
      <c r="A22" s="91">
        <v>21</v>
      </c>
      <c r="B22" s="83" t="s">
        <v>493</v>
      </c>
      <c r="C22" s="83">
        <v>0</v>
      </c>
      <c r="D22" s="92">
        <v>4</v>
      </c>
    </row>
    <row r="23" spans="1:4" ht="15.3">
      <c r="A23" s="91">
        <v>22</v>
      </c>
      <c r="B23" s="83" t="s">
        <v>494</v>
      </c>
      <c r="C23" s="83">
        <v>0</v>
      </c>
      <c r="D23" s="92">
        <v>10</v>
      </c>
    </row>
    <row r="24" spans="1:4" ht="15.3">
      <c r="A24" s="93">
        <v>23</v>
      </c>
      <c r="B24" s="115" t="s">
        <v>495</v>
      </c>
      <c r="C24" s="115">
        <v>26</v>
      </c>
      <c r="D24" s="9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ColWidth="9" defaultRowHeight="14.4"/>
  <cols>
    <col min="1" max="1" width="5.89453125" customWidth="1"/>
    <col min="2" max="2" width="49.41796875" customWidth="1"/>
  </cols>
  <sheetData>
    <row r="1" spans="1:3" ht="15.3">
      <c r="A1" s="96" t="s">
        <v>460</v>
      </c>
      <c r="B1" s="97" t="s">
        <v>461</v>
      </c>
      <c r="C1" s="98" t="s">
        <v>442</v>
      </c>
    </row>
    <row r="2" spans="1:3" ht="15.3">
      <c r="A2" s="99">
        <v>1</v>
      </c>
      <c r="B2" s="81" t="s">
        <v>496</v>
      </c>
      <c r="C2" s="100">
        <v>39</v>
      </c>
    </row>
    <row r="3" spans="1:3" ht="15.3">
      <c r="A3" s="99">
        <v>2</v>
      </c>
      <c r="B3" s="81" t="s">
        <v>497</v>
      </c>
      <c r="C3" s="100">
        <v>42</v>
      </c>
    </row>
    <row r="4" spans="1:3" ht="15.3">
      <c r="A4" s="99">
        <v>3</v>
      </c>
      <c r="B4" s="81" t="s">
        <v>498</v>
      </c>
      <c r="C4" s="100">
        <v>41</v>
      </c>
    </row>
    <row r="5" spans="1:3" ht="15.3">
      <c r="A5" s="99">
        <v>4</v>
      </c>
      <c r="B5" s="81" t="s">
        <v>499</v>
      </c>
      <c r="C5" s="100">
        <v>45</v>
      </c>
    </row>
    <row r="6" spans="1:3" ht="15.3">
      <c r="A6" s="99">
        <v>5</v>
      </c>
      <c r="B6" s="81" t="s">
        <v>500</v>
      </c>
      <c r="C6" s="100">
        <v>1</v>
      </c>
    </row>
    <row r="7" spans="1:3" ht="15.3">
      <c r="A7" s="101">
        <v>6</v>
      </c>
      <c r="B7" s="102" t="s">
        <v>501</v>
      </c>
      <c r="C7" s="103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B11" sqref="B11"/>
    </sheetView>
  </sheetViews>
  <sheetFormatPr defaultColWidth="9" defaultRowHeight="14.4"/>
  <cols>
    <col min="2" max="2" width="47.3125" customWidth="1"/>
  </cols>
  <sheetData>
    <row r="1" spans="1:3" ht="15.3">
      <c r="A1" s="80" t="s">
        <v>460</v>
      </c>
      <c r="B1" s="80" t="s">
        <v>502</v>
      </c>
      <c r="C1" s="80" t="s">
        <v>442</v>
      </c>
    </row>
    <row r="2" spans="1:3" ht="15.3">
      <c r="A2" s="105">
        <v>1</v>
      </c>
      <c r="B2" s="105" t="s">
        <v>503</v>
      </c>
      <c r="C2" s="105">
        <v>2</v>
      </c>
    </row>
    <row r="3" spans="1:3" ht="15.3">
      <c r="A3" s="105">
        <v>2</v>
      </c>
      <c r="B3" s="105" t="s">
        <v>504</v>
      </c>
      <c r="C3" s="105">
        <v>2</v>
      </c>
    </row>
    <row r="4" spans="1:3" ht="15.3">
      <c r="A4" s="105">
        <v>3</v>
      </c>
      <c r="B4" s="105" t="s">
        <v>505</v>
      </c>
      <c r="C4" s="105">
        <v>2</v>
      </c>
    </row>
    <row r="5" spans="1:3" ht="15.3">
      <c r="A5" s="105">
        <v>4</v>
      </c>
      <c r="B5" s="105" t="s">
        <v>506</v>
      </c>
      <c r="C5" s="105">
        <v>2</v>
      </c>
    </row>
    <row r="6" spans="1:3" ht="15.3">
      <c r="A6" s="105">
        <v>5</v>
      </c>
      <c r="B6" s="105" t="s">
        <v>507</v>
      </c>
      <c r="C6" s="105">
        <v>1</v>
      </c>
    </row>
    <row r="9" spans="1:3" ht="15.3">
      <c r="A9" s="80" t="s">
        <v>460</v>
      </c>
      <c r="B9" s="80" t="s">
        <v>508</v>
      </c>
      <c r="C9" s="80" t="s">
        <v>442</v>
      </c>
    </row>
    <row r="10" spans="1:3" ht="30.6">
      <c r="A10" s="105">
        <v>1</v>
      </c>
      <c r="B10" s="111" t="s">
        <v>509</v>
      </c>
      <c r="C10" s="105">
        <v>4</v>
      </c>
    </row>
    <row r="11" spans="1:3" ht="15.3">
      <c r="A11" s="105">
        <v>2</v>
      </c>
      <c r="B11" s="105" t="s">
        <v>505</v>
      </c>
      <c r="C11" s="105">
        <v>4</v>
      </c>
    </row>
    <row r="12" spans="1:3" ht="15.3">
      <c r="A12" s="105">
        <v>3</v>
      </c>
      <c r="B12" s="105" t="s">
        <v>506</v>
      </c>
      <c r="C12" s="105">
        <v>4</v>
      </c>
    </row>
    <row r="13" spans="1:3" ht="15.3">
      <c r="A13" s="105">
        <v>4</v>
      </c>
      <c r="B13" s="105" t="s">
        <v>507</v>
      </c>
      <c r="C13" s="105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topLeftCell="A7" workbookViewId="0">
      <selection activeCell="F6" sqref="F6"/>
    </sheetView>
  </sheetViews>
  <sheetFormatPr defaultColWidth="9" defaultRowHeight="14.4"/>
  <cols>
    <col min="2" max="2" width="48.5234375" customWidth="1"/>
  </cols>
  <sheetData>
    <row r="1" spans="1:3" ht="15.3">
      <c r="A1" s="1716" t="s">
        <v>510</v>
      </c>
      <c r="B1" s="1717"/>
      <c r="C1" s="1718"/>
    </row>
    <row r="2" spans="1:3" ht="15.3">
      <c r="A2" s="96" t="s">
        <v>460</v>
      </c>
      <c r="B2" s="97" t="s">
        <v>511</v>
      </c>
      <c r="C2" s="98" t="s">
        <v>442</v>
      </c>
    </row>
    <row r="3" spans="1:3" ht="153">
      <c r="A3" s="93">
        <v>1</v>
      </c>
      <c r="B3" s="110" t="s">
        <v>512</v>
      </c>
      <c r="C3" s="95">
        <v>1</v>
      </c>
    </row>
    <row r="5" spans="1:3" ht="15.3">
      <c r="A5" s="1716" t="s">
        <v>513</v>
      </c>
      <c r="B5" s="1717"/>
      <c r="C5" s="1718"/>
    </row>
    <row r="6" spans="1:3" ht="15.3">
      <c r="A6" s="96" t="s">
        <v>460</v>
      </c>
      <c r="B6" s="97" t="s">
        <v>511</v>
      </c>
      <c r="C6" s="98" t="s">
        <v>442</v>
      </c>
    </row>
    <row r="7" spans="1:3" ht="153">
      <c r="A7" s="93">
        <v>1</v>
      </c>
      <c r="B7" s="110" t="s">
        <v>514</v>
      </c>
      <c r="C7" s="95">
        <v>1</v>
      </c>
    </row>
    <row r="9" spans="1:3" ht="15.3">
      <c r="A9" s="1716" t="s">
        <v>515</v>
      </c>
      <c r="B9" s="1717"/>
      <c r="C9" s="1718"/>
    </row>
    <row r="10" spans="1:3" ht="15.3">
      <c r="A10" s="96" t="s">
        <v>460</v>
      </c>
      <c r="B10" s="97" t="s">
        <v>511</v>
      </c>
      <c r="C10" s="98" t="s">
        <v>442</v>
      </c>
    </row>
    <row r="11" spans="1:3" ht="153">
      <c r="A11" s="93">
        <v>1</v>
      </c>
      <c r="B11" s="110" t="s">
        <v>516</v>
      </c>
      <c r="C11" s="95">
        <v>1</v>
      </c>
    </row>
  </sheetData>
  <mergeCells count="3">
    <mergeCell ref="A1:C1"/>
    <mergeCell ref="A5:C5"/>
    <mergeCell ref="A9:C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ColWidth="9" defaultRowHeight="14.4"/>
  <cols>
    <col min="2" max="2" width="58.41796875" customWidth="1"/>
  </cols>
  <sheetData>
    <row r="1" spans="1:3" ht="15.3">
      <c r="A1" s="96" t="s">
        <v>460</v>
      </c>
      <c r="B1" s="97" t="s">
        <v>461</v>
      </c>
      <c r="C1" s="98" t="s">
        <v>442</v>
      </c>
    </row>
    <row r="2" spans="1:3" ht="15.3">
      <c r="A2" s="104">
        <v>1</v>
      </c>
      <c r="B2" s="105" t="s">
        <v>517</v>
      </c>
      <c r="C2" s="106">
        <v>36</v>
      </c>
    </row>
    <row r="3" spans="1:3" ht="15.3">
      <c r="A3" s="104">
        <v>2</v>
      </c>
      <c r="B3" s="105" t="s">
        <v>518</v>
      </c>
      <c r="C3" s="106">
        <v>36</v>
      </c>
    </row>
    <row r="4" spans="1:3" ht="15.3">
      <c r="A4" s="104">
        <v>3</v>
      </c>
      <c r="B4" s="105" t="s">
        <v>519</v>
      </c>
      <c r="C4" s="106">
        <v>4</v>
      </c>
    </row>
    <row r="5" spans="1:3" ht="15.3">
      <c r="A5" s="104">
        <v>4</v>
      </c>
      <c r="B5" s="105" t="s">
        <v>520</v>
      </c>
      <c r="C5" s="106">
        <v>4</v>
      </c>
    </row>
    <row r="6" spans="1:3" ht="15.3">
      <c r="A6" s="104">
        <v>5</v>
      </c>
      <c r="B6" s="105" t="s">
        <v>521</v>
      </c>
      <c r="C6" s="106">
        <v>1</v>
      </c>
    </row>
    <row r="7" spans="1:3" ht="15.3">
      <c r="A7" s="104">
        <v>6</v>
      </c>
      <c r="B7" s="105" t="s">
        <v>522</v>
      </c>
      <c r="C7" s="106">
        <v>3</v>
      </c>
    </row>
    <row r="8" spans="1:3" ht="15.3">
      <c r="A8" s="107">
        <v>7</v>
      </c>
      <c r="B8" s="108" t="s">
        <v>523</v>
      </c>
      <c r="C8" s="10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ColWidth="9" defaultRowHeight="14.4"/>
  <cols>
    <col min="2" max="2" width="38.5234375" customWidth="1"/>
  </cols>
  <sheetData>
    <row r="1" spans="1:3" ht="15.3">
      <c r="A1" s="96" t="s">
        <v>524</v>
      </c>
      <c r="B1" s="97" t="s">
        <v>441</v>
      </c>
      <c r="C1" s="98" t="s">
        <v>442</v>
      </c>
    </row>
    <row r="2" spans="1:3" ht="15.3">
      <c r="A2" s="99">
        <v>1</v>
      </c>
      <c r="B2" s="81" t="s">
        <v>525</v>
      </c>
      <c r="C2" s="100">
        <v>3</v>
      </c>
    </row>
    <row r="3" spans="1:3" ht="15.3">
      <c r="A3" s="99">
        <v>2</v>
      </c>
      <c r="B3" s="81" t="s">
        <v>526</v>
      </c>
      <c r="C3" s="100">
        <v>24</v>
      </c>
    </row>
    <row r="4" spans="1:3" ht="15.3">
      <c r="A4" s="99">
        <v>3</v>
      </c>
      <c r="B4" s="81" t="s">
        <v>527</v>
      </c>
      <c r="C4" s="100">
        <v>2</v>
      </c>
    </row>
    <row r="5" spans="1:3" ht="15.3">
      <c r="A5" s="99">
        <v>4</v>
      </c>
      <c r="B5" s="81" t="s">
        <v>528</v>
      </c>
      <c r="C5" s="100">
        <v>3</v>
      </c>
    </row>
    <row r="6" spans="1:3" ht="15.3">
      <c r="A6" s="99">
        <v>5</v>
      </c>
      <c r="B6" s="81" t="s">
        <v>529</v>
      </c>
      <c r="C6" s="100">
        <v>4</v>
      </c>
    </row>
    <row r="7" spans="1:3" ht="15.3">
      <c r="A7" s="99">
        <v>6</v>
      </c>
      <c r="B7" s="81" t="s">
        <v>530</v>
      </c>
      <c r="C7" s="100">
        <v>29</v>
      </c>
    </row>
    <row r="8" spans="1:3" ht="15.3">
      <c r="A8" s="99">
        <v>7</v>
      </c>
      <c r="B8" s="81" t="s">
        <v>531</v>
      </c>
      <c r="C8" s="100">
        <v>1</v>
      </c>
    </row>
    <row r="9" spans="1:3" ht="15.3">
      <c r="A9" s="99">
        <v>8</v>
      </c>
      <c r="B9" s="81" t="s">
        <v>532</v>
      </c>
      <c r="C9" s="100">
        <v>1</v>
      </c>
    </row>
    <row r="10" spans="1:3" ht="15.3">
      <c r="A10" s="99">
        <v>9</v>
      </c>
      <c r="B10" s="81" t="s">
        <v>533</v>
      </c>
      <c r="C10" s="100">
        <v>2</v>
      </c>
    </row>
    <row r="11" spans="1:3" ht="15.3">
      <c r="A11" s="99">
        <v>10</v>
      </c>
      <c r="B11" s="81" t="s">
        <v>534</v>
      </c>
      <c r="C11" s="100">
        <v>10</v>
      </c>
    </row>
    <row r="12" spans="1:3" ht="15.3">
      <c r="A12" s="99">
        <v>11</v>
      </c>
      <c r="B12" s="81" t="s">
        <v>535</v>
      </c>
      <c r="C12" s="100">
        <v>2</v>
      </c>
    </row>
    <row r="13" spans="1:3" ht="15.3">
      <c r="A13" s="99">
        <v>12</v>
      </c>
      <c r="B13" s="81" t="s">
        <v>536</v>
      </c>
      <c r="C13" s="100">
        <v>12</v>
      </c>
    </row>
    <row r="14" spans="1:3" ht="15.3">
      <c r="A14" s="99">
        <v>13</v>
      </c>
      <c r="B14" s="81" t="s">
        <v>537</v>
      </c>
      <c r="C14" s="100">
        <v>1</v>
      </c>
    </row>
    <row r="15" spans="1:3" ht="15.3">
      <c r="A15" s="99">
        <v>14</v>
      </c>
      <c r="B15" s="81" t="s">
        <v>538</v>
      </c>
      <c r="C15" s="100">
        <v>7</v>
      </c>
    </row>
    <row r="16" spans="1:3" ht="15.3">
      <c r="A16" s="99">
        <v>15</v>
      </c>
      <c r="B16" s="81" t="s">
        <v>539</v>
      </c>
      <c r="C16" s="100">
        <v>1</v>
      </c>
    </row>
    <row r="17" spans="1:3" ht="15.3">
      <c r="A17" s="101">
        <v>16</v>
      </c>
      <c r="B17" s="102" t="s">
        <v>533</v>
      </c>
      <c r="C17" s="103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selection activeCell="F8" sqref="F8"/>
    </sheetView>
  </sheetViews>
  <sheetFormatPr defaultColWidth="9" defaultRowHeight="14.4"/>
  <cols>
    <col min="2" max="2" width="41.89453125" customWidth="1"/>
  </cols>
  <sheetData>
    <row r="1" spans="1:3" ht="15">
      <c r="A1" s="88" t="s">
        <v>540</v>
      </c>
      <c r="B1" s="89" t="s">
        <v>441</v>
      </c>
      <c r="C1" s="90" t="s">
        <v>442</v>
      </c>
    </row>
    <row r="2" spans="1:3" ht="15.3">
      <c r="A2" s="91">
        <v>1</v>
      </c>
      <c r="B2" s="83" t="s">
        <v>541</v>
      </c>
      <c r="C2" s="92">
        <v>62</v>
      </c>
    </row>
    <row r="3" spans="1:3" ht="15.3">
      <c r="A3" s="91">
        <v>2</v>
      </c>
      <c r="B3" s="83" t="s">
        <v>542</v>
      </c>
      <c r="C3" s="92">
        <v>74</v>
      </c>
    </row>
    <row r="4" spans="1:3" ht="15.3">
      <c r="A4" s="91">
        <v>3</v>
      </c>
      <c r="B4" s="83" t="s">
        <v>543</v>
      </c>
      <c r="C4" s="92">
        <v>14</v>
      </c>
    </row>
    <row r="5" spans="1:3" ht="15.3">
      <c r="A5" s="91">
        <v>4</v>
      </c>
      <c r="B5" s="83" t="s">
        <v>544</v>
      </c>
      <c r="C5" s="92">
        <v>1</v>
      </c>
    </row>
    <row r="6" spans="1:3" ht="30.6">
      <c r="A6" s="93">
        <v>5</v>
      </c>
      <c r="B6" s="94" t="s">
        <v>545</v>
      </c>
      <c r="C6" s="9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"/>
  <sheetViews>
    <sheetView workbookViewId="0">
      <selection activeCell="G17" sqref="G17"/>
    </sheetView>
  </sheetViews>
  <sheetFormatPr defaultColWidth="9" defaultRowHeight="14.4"/>
  <cols>
    <col min="2" max="2" width="24.41796875" customWidth="1"/>
  </cols>
  <sheetData>
    <row r="1" spans="1:3" ht="15">
      <c r="A1" s="86" t="s">
        <v>546</v>
      </c>
      <c r="B1" s="86" t="s">
        <v>441</v>
      </c>
      <c r="C1" s="86" t="s">
        <v>442</v>
      </c>
    </row>
    <row r="2" spans="1:3" ht="30.6">
      <c r="A2" s="83">
        <v>1</v>
      </c>
      <c r="B2" s="87" t="s">
        <v>547</v>
      </c>
      <c r="C2" s="83">
        <v>1</v>
      </c>
    </row>
    <row r="3" spans="1:3" ht="15.3">
      <c r="A3" s="83">
        <v>2</v>
      </c>
      <c r="B3" s="83" t="s">
        <v>548</v>
      </c>
      <c r="C3" s="83">
        <v>1</v>
      </c>
    </row>
    <row r="4" spans="1:3" ht="15.3">
      <c r="A4" s="83">
        <v>3</v>
      </c>
      <c r="B4" s="83" t="s">
        <v>549</v>
      </c>
      <c r="C4" s="8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ColWidth="9" defaultRowHeight="14.4"/>
  <cols>
    <col min="2" max="2" width="29.1015625" customWidth="1"/>
  </cols>
  <sheetData>
    <row r="1" spans="1:2" ht="17.399999999999999">
      <c r="A1" s="84" t="s">
        <v>460</v>
      </c>
      <c r="B1" s="84" t="s">
        <v>550</v>
      </c>
    </row>
    <row r="2" spans="1:2" ht="17.7">
      <c r="A2" s="85">
        <v>1</v>
      </c>
      <c r="B2" s="85" t="s">
        <v>551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1"/>
  <sheetViews>
    <sheetView workbookViewId="0"/>
  </sheetViews>
  <sheetFormatPr defaultColWidth="9" defaultRowHeight="14.4"/>
  <cols>
    <col min="1" max="1" width="5.5234375" customWidth="1"/>
    <col min="2" max="2" width="36.41796875" customWidth="1"/>
    <col min="3" max="3" width="33.5234375" customWidth="1"/>
  </cols>
  <sheetData>
    <row r="1" spans="1:4" ht="15.3">
      <c r="A1" s="80" t="s">
        <v>552</v>
      </c>
      <c r="B1" s="80" t="s">
        <v>553</v>
      </c>
      <c r="C1" s="80" t="s">
        <v>554</v>
      </c>
      <c r="D1" s="80" t="s">
        <v>442</v>
      </c>
    </row>
    <row r="2" spans="1:4" ht="30.6">
      <c r="A2" s="81">
        <v>1</v>
      </c>
      <c r="B2" s="82" t="s">
        <v>555</v>
      </c>
      <c r="C2" s="82">
        <v>2017</v>
      </c>
      <c r="D2" s="81">
        <v>1</v>
      </c>
    </row>
    <row r="3" spans="1:4" ht="15.3">
      <c r="A3" s="81">
        <v>2</v>
      </c>
      <c r="B3" s="81" t="s">
        <v>556</v>
      </c>
      <c r="C3" s="82">
        <v>2017</v>
      </c>
      <c r="D3" s="81">
        <v>28</v>
      </c>
    </row>
    <row r="4" spans="1:4" ht="15.3">
      <c r="A4" s="81"/>
      <c r="B4" s="1719" t="s">
        <v>557</v>
      </c>
      <c r="C4" s="82">
        <v>2017</v>
      </c>
      <c r="D4" s="81">
        <v>25</v>
      </c>
    </row>
    <row r="5" spans="1:4" ht="15.3">
      <c r="A5" s="81">
        <v>3</v>
      </c>
      <c r="B5" s="1719"/>
      <c r="C5" s="81" t="s">
        <v>558</v>
      </c>
      <c r="D5" s="81">
        <v>10</v>
      </c>
    </row>
    <row r="6" spans="1:4" ht="15.3">
      <c r="A6" s="81">
        <v>4</v>
      </c>
      <c r="B6" s="81" t="s">
        <v>559</v>
      </c>
      <c r="C6" s="81">
        <v>2017</v>
      </c>
      <c r="D6" s="81">
        <v>8</v>
      </c>
    </row>
    <row r="7" spans="1:4" ht="15.3">
      <c r="A7" s="81">
        <v>5</v>
      </c>
      <c r="B7" s="81" t="s">
        <v>560</v>
      </c>
      <c r="C7" s="81">
        <v>2017</v>
      </c>
      <c r="D7" s="81">
        <v>1</v>
      </c>
    </row>
    <row r="8" spans="1:4" ht="30.6">
      <c r="A8" s="81">
        <v>6</v>
      </c>
      <c r="B8" s="82" t="s">
        <v>561</v>
      </c>
      <c r="C8" s="81">
        <v>2017</v>
      </c>
      <c r="D8" s="81">
        <v>11</v>
      </c>
    </row>
    <row r="9" spans="1:4" ht="15.3">
      <c r="A9" s="81">
        <v>7</v>
      </c>
      <c r="B9" s="81" t="s">
        <v>562</v>
      </c>
      <c r="C9" s="81">
        <v>2017</v>
      </c>
      <c r="D9" s="81">
        <v>4</v>
      </c>
    </row>
    <row r="10" spans="1:4" ht="15.3">
      <c r="A10" s="81">
        <v>8</v>
      </c>
      <c r="B10" s="81" t="s">
        <v>563</v>
      </c>
      <c r="C10" s="81">
        <v>2017</v>
      </c>
      <c r="D10" s="81">
        <v>2</v>
      </c>
    </row>
    <row r="11" spans="1:4" ht="15.3">
      <c r="A11" s="81">
        <v>9</v>
      </c>
      <c r="B11" s="81" t="s">
        <v>564</v>
      </c>
      <c r="C11" s="81">
        <v>2017</v>
      </c>
      <c r="D11" s="81">
        <v>1</v>
      </c>
    </row>
  </sheetData>
  <mergeCells count="1">
    <mergeCell ref="B4:B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E42"/>
  <sheetViews>
    <sheetView workbookViewId="0">
      <selection activeCell="H6" sqref="H6"/>
    </sheetView>
  </sheetViews>
  <sheetFormatPr defaultColWidth="9" defaultRowHeight="14.4"/>
  <cols>
    <col min="2" max="2" width="38.41796875" customWidth="1"/>
  </cols>
  <sheetData>
    <row r="2" spans="1:5" ht="22.8">
      <c r="A2" s="46" t="s">
        <v>552</v>
      </c>
      <c r="B2" s="47" t="s">
        <v>553</v>
      </c>
      <c r="C2" s="48" t="s">
        <v>554</v>
      </c>
      <c r="D2" s="48" t="s">
        <v>565</v>
      </c>
      <c r="E2" s="48" t="s">
        <v>566</v>
      </c>
    </row>
    <row r="3" spans="1:5">
      <c r="A3" s="49">
        <v>1</v>
      </c>
      <c r="B3" s="50" t="s">
        <v>567</v>
      </c>
      <c r="C3" s="51">
        <v>2013</v>
      </c>
      <c r="D3" s="51" t="s">
        <v>568</v>
      </c>
      <c r="E3" s="51">
        <v>11</v>
      </c>
    </row>
    <row r="4" spans="1:5">
      <c r="A4" s="52">
        <v>2</v>
      </c>
      <c r="B4" s="53" t="s">
        <v>569</v>
      </c>
      <c r="C4" s="54">
        <v>2013</v>
      </c>
      <c r="D4" s="51" t="s">
        <v>568</v>
      </c>
      <c r="E4" s="51">
        <v>13</v>
      </c>
    </row>
    <row r="5" spans="1:5">
      <c r="A5" s="55">
        <v>3</v>
      </c>
      <c r="B5" s="56" t="s">
        <v>570</v>
      </c>
      <c r="C5" s="1720">
        <v>2013</v>
      </c>
      <c r="D5" s="1720" t="s">
        <v>568</v>
      </c>
      <c r="E5" s="1720">
        <v>17</v>
      </c>
    </row>
    <row r="6" spans="1:5">
      <c r="A6" s="57"/>
      <c r="B6" s="58" t="s">
        <v>571</v>
      </c>
      <c r="C6" s="1721"/>
      <c r="D6" s="1721"/>
      <c r="E6" s="1721"/>
    </row>
    <row r="7" spans="1:5">
      <c r="A7" s="49">
        <v>4</v>
      </c>
      <c r="B7" s="50" t="s">
        <v>572</v>
      </c>
      <c r="C7" s="51">
        <v>2013</v>
      </c>
      <c r="D7" s="51" t="s">
        <v>568</v>
      </c>
      <c r="E7" s="51">
        <v>2</v>
      </c>
    </row>
    <row r="8" spans="1:5">
      <c r="A8" s="49">
        <v>5</v>
      </c>
      <c r="B8" s="50" t="s">
        <v>573</v>
      </c>
      <c r="C8" s="51">
        <v>2014</v>
      </c>
      <c r="D8" s="51" t="s">
        <v>568</v>
      </c>
      <c r="E8" s="51">
        <v>2</v>
      </c>
    </row>
    <row r="9" spans="1:5">
      <c r="A9" s="59">
        <v>6</v>
      </c>
      <c r="B9" s="53" t="s">
        <v>574</v>
      </c>
      <c r="C9" s="54">
        <v>2014</v>
      </c>
      <c r="D9" s="51" t="s">
        <v>568</v>
      </c>
      <c r="E9" s="51">
        <v>4</v>
      </c>
    </row>
    <row r="10" spans="1:5">
      <c r="A10" s="60"/>
      <c r="B10" s="56" t="s">
        <v>575</v>
      </c>
      <c r="C10" s="1720">
        <v>2014</v>
      </c>
      <c r="D10" s="1720" t="s">
        <v>568</v>
      </c>
      <c r="E10" s="1720">
        <v>5</v>
      </c>
    </row>
    <row r="11" spans="1:5">
      <c r="A11" s="49">
        <v>7</v>
      </c>
      <c r="B11" s="58" t="s">
        <v>576</v>
      </c>
      <c r="C11" s="1721"/>
      <c r="D11" s="1721"/>
      <c r="E11" s="1721"/>
    </row>
    <row r="12" spans="1:5">
      <c r="A12" s="49">
        <v>8</v>
      </c>
      <c r="B12" s="58" t="s">
        <v>577</v>
      </c>
      <c r="C12" s="61">
        <v>2015</v>
      </c>
      <c r="D12" s="61" t="s">
        <v>568</v>
      </c>
      <c r="E12" s="61">
        <v>19</v>
      </c>
    </row>
    <row r="13" spans="1:5">
      <c r="A13" s="49">
        <v>9</v>
      </c>
      <c r="B13" s="58" t="s">
        <v>578</v>
      </c>
      <c r="C13" s="61">
        <v>2015</v>
      </c>
      <c r="D13" s="61" t="s">
        <v>568</v>
      </c>
      <c r="E13" s="61">
        <v>7</v>
      </c>
    </row>
    <row r="14" spans="1:5">
      <c r="A14" s="49">
        <v>10</v>
      </c>
      <c r="B14" s="58" t="s">
        <v>579</v>
      </c>
      <c r="C14" s="61">
        <v>2013</v>
      </c>
      <c r="D14" s="61" t="s">
        <v>568</v>
      </c>
      <c r="E14" s="61">
        <v>4</v>
      </c>
    </row>
    <row r="15" spans="1:5" ht="24.6">
      <c r="A15" s="49">
        <v>11</v>
      </c>
      <c r="B15" s="58" t="s">
        <v>580</v>
      </c>
      <c r="C15" s="61" t="s">
        <v>581</v>
      </c>
      <c r="D15" s="61" t="s">
        <v>568</v>
      </c>
      <c r="E15" s="61">
        <v>3</v>
      </c>
    </row>
    <row r="16" spans="1:5">
      <c r="A16" s="49">
        <v>12</v>
      </c>
      <c r="B16" s="58" t="s">
        <v>582</v>
      </c>
      <c r="C16" s="61">
        <v>2013</v>
      </c>
      <c r="D16" s="61" t="s">
        <v>568</v>
      </c>
      <c r="E16" s="61">
        <v>8</v>
      </c>
    </row>
    <row r="17" spans="1:5">
      <c r="A17" s="49">
        <v>13</v>
      </c>
      <c r="B17" s="62" t="s">
        <v>583</v>
      </c>
      <c r="C17" s="61">
        <v>2015</v>
      </c>
      <c r="D17" s="61" t="s">
        <v>568</v>
      </c>
      <c r="E17" s="61">
        <v>1</v>
      </c>
    </row>
    <row r="18" spans="1:5">
      <c r="A18" s="49">
        <v>14</v>
      </c>
      <c r="B18" s="63" t="s">
        <v>584</v>
      </c>
      <c r="C18" s="61">
        <v>2015</v>
      </c>
      <c r="D18" s="61" t="s">
        <v>568</v>
      </c>
      <c r="E18" s="61">
        <v>1</v>
      </c>
    </row>
    <row r="19" spans="1:5">
      <c r="A19" s="64">
        <v>15</v>
      </c>
      <c r="B19" s="65" t="s">
        <v>585</v>
      </c>
      <c r="C19" s="61">
        <v>2015</v>
      </c>
      <c r="D19" s="61" t="s">
        <v>568</v>
      </c>
      <c r="E19" s="61">
        <v>1</v>
      </c>
    </row>
    <row r="20" spans="1:5">
      <c r="A20" s="66">
        <v>16</v>
      </c>
      <c r="B20" s="67" t="s">
        <v>586</v>
      </c>
      <c r="C20" s="61"/>
      <c r="D20" s="61" t="s">
        <v>568</v>
      </c>
      <c r="E20" s="61">
        <v>44</v>
      </c>
    </row>
    <row r="21" spans="1:5">
      <c r="A21" s="68">
        <v>17</v>
      </c>
      <c r="B21" s="69" t="s">
        <v>587</v>
      </c>
      <c r="C21" s="61" t="s">
        <v>588</v>
      </c>
      <c r="D21" s="61" t="s">
        <v>568</v>
      </c>
      <c r="E21" s="61">
        <v>4</v>
      </c>
    </row>
    <row r="22" spans="1:5">
      <c r="A22" s="70">
        <v>18</v>
      </c>
      <c r="B22" s="71" t="s">
        <v>589</v>
      </c>
      <c r="C22" s="61">
        <v>2018</v>
      </c>
      <c r="D22" s="61" t="s">
        <v>568</v>
      </c>
      <c r="E22" s="61">
        <v>9</v>
      </c>
    </row>
    <row r="23" spans="1:5">
      <c r="A23" s="72">
        <v>19</v>
      </c>
      <c r="B23" s="73" t="s">
        <v>590</v>
      </c>
      <c r="C23" s="74">
        <v>2018</v>
      </c>
      <c r="D23" s="74" t="s">
        <v>568</v>
      </c>
      <c r="E23" s="74">
        <v>1</v>
      </c>
    </row>
    <row r="24" spans="1:5">
      <c r="A24" s="49">
        <v>20</v>
      </c>
      <c r="B24" s="58" t="s">
        <v>591</v>
      </c>
      <c r="C24" s="61">
        <v>2018</v>
      </c>
      <c r="D24" s="61" t="s">
        <v>568</v>
      </c>
      <c r="E24" s="61">
        <v>1</v>
      </c>
    </row>
    <row r="25" spans="1:5">
      <c r="A25" s="49">
        <v>21</v>
      </c>
      <c r="B25" s="58" t="s">
        <v>592</v>
      </c>
      <c r="C25" s="61">
        <v>2018</v>
      </c>
      <c r="D25" s="61" t="s">
        <v>568</v>
      </c>
      <c r="E25" s="61">
        <v>1</v>
      </c>
    </row>
    <row r="26" spans="1:5">
      <c r="A26" s="49">
        <v>22</v>
      </c>
      <c r="B26" s="58" t="s">
        <v>593</v>
      </c>
      <c r="C26" s="61">
        <v>2019</v>
      </c>
      <c r="D26" s="61" t="s">
        <v>568</v>
      </c>
      <c r="E26" s="61">
        <v>2</v>
      </c>
    </row>
    <row r="27" spans="1:5">
      <c r="A27" s="49">
        <v>23</v>
      </c>
      <c r="B27" s="58" t="s">
        <v>594</v>
      </c>
      <c r="C27" s="61">
        <v>2019</v>
      </c>
      <c r="D27" s="61" t="s">
        <v>568</v>
      </c>
      <c r="E27" s="61">
        <v>27</v>
      </c>
    </row>
    <row r="28" spans="1:5">
      <c r="A28" s="49">
        <v>24</v>
      </c>
      <c r="B28" s="58" t="s">
        <v>595</v>
      </c>
      <c r="C28" s="61">
        <v>2019</v>
      </c>
      <c r="D28" s="61" t="s">
        <v>568</v>
      </c>
      <c r="E28" s="61">
        <v>7</v>
      </c>
    </row>
    <row r="29" spans="1:5">
      <c r="A29" s="49">
        <v>25</v>
      </c>
      <c r="B29" s="58" t="s">
        <v>596</v>
      </c>
      <c r="C29" s="61">
        <v>2019</v>
      </c>
      <c r="D29" s="61" t="s">
        <v>568</v>
      </c>
      <c r="E29" s="61">
        <v>2</v>
      </c>
    </row>
    <row r="30" spans="1:5">
      <c r="A30" s="49"/>
      <c r="B30" s="75" t="s">
        <v>597</v>
      </c>
      <c r="C30" s="61"/>
      <c r="D30" s="61"/>
      <c r="E30" s="61"/>
    </row>
    <row r="31" spans="1:5">
      <c r="A31" s="76">
        <v>1</v>
      </c>
      <c r="B31" s="77" t="s">
        <v>577</v>
      </c>
      <c r="C31" s="78">
        <v>2015</v>
      </c>
      <c r="D31" s="78" t="s">
        <v>598</v>
      </c>
      <c r="E31" s="78">
        <v>8</v>
      </c>
    </row>
    <row r="32" spans="1:5">
      <c r="A32" s="76">
        <v>2</v>
      </c>
      <c r="B32" s="77" t="s">
        <v>599</v>
      </c>
      <c r="C32" s="78">
        <v>2015</v>
      </c>
      <c r="D32" s="78" t="s">
        <v>568</v>
      </c>
      <c r="E32" s="78">
        <v>1</v>
      </c>
    </row>
    <row r="33" spans="1:5">
      <c r="A33" s="76">
        <v>3</v>
      </c>
      <c r="B33" s="77" t="s">
        <v>600</v>
      </c>
      <c r="C33" s="78">
        <v>2015</v>
      </c>
      <c r="D33" s="78" t="s">
        <v>568</v>
      </c>
      <c r="E33" s="78">
        <v>1</v>
      </c>
    </row>
    <row r="34" spans="1:5">
      <c r="A34" s="76">
        <v>4</v>
      </c>
      <c r="B34" s="77" t="s">
        <v>583</v>
      </c>
      <c r="C34" s="78">
        <v>2015</v>
      </c>
      <c r="D34" s="78" t="s">
        <v>568</v>
      </c>
      <c r="E34" s="78">
        <v>1</v>
      </c>
    </row>
    <row r="35" spans="1:5">
      <c r="A35" s="76">
        <v>5</v>
      </c>
      <c r="B35" s="77" t="s">
        <v>585</v>
      </c>
      <c r="C35" s="78">
        <v>2015</v>
      </c>
      <c r="D35" s="78" t="s">
        <v>568</v>
      </c>
      <c r="E35" s="78">
        <v>1</v>
      </c>
    </row>
    <row r="36" spans="1:5">
      <c r="A36" s="76">
        <v>6</v>
      </c>
      <c r="B36" s="77" t="s">
        <v>601</v>
      </c>
      <c r="C36" s="78">
        <v>2015</v>
      </c>
      <c r="D36" s="78" t="s">
        <v>568</v>
      </c>
      <c r="E36" s="78">
        <v>2</v>
      </c>
    </row>
    <row r="37" spans="1:5">
      <c r="A37" s="76">
        <v>7</v>
      </c>
      <c r="B37" s="77" t="s">
        <v>577</v>
      </c>
      <c r="C37" s="78" t="s">
        <v>602</v>
      </c>
      <c r="D37" s="78" t="s">
        <v>568</v>
      </c>
      <c r="E37" s="79">
        <v>4</v>
      </c>
    </row>
    <row r="38" spans="1:5">
      <c r="A38" s="76">
        <v>8</v>
      </c>
      <c r="B38" s="77" t="s">
        <v>578</v>
      </c>
      <c r="C38" s="78" t="s">
        <v>602</v>
      </c>
      <c r="D38" s="78" t="s">
        <v>568</v>
      </c>
      <c r="E38" s="79">
        <v>4</v>
      </c>
    </row>
    <row r="39" spans="1:5">
      <c r="A39" s="76">
        <v>9</v>
      </c>
      <c r="B39" s="77" t="s">
        <v>600</v>
      </c>
      <c r="C39" s="78" t="s">
        <v>602</v>
      </c>
      <c r="D39" s="78" t="s">
        <v>568</v>
      </c>
      <c r="E39" s="78">
        <v>1</v>
      </c>
    </row>
    <row r="40" spans="1:5">
      <c r="A40" s="76">
        <v>10</v>
      </c>
      <c r="B40" s="77" t="s">
        <v>583</v>
      </c>
      <c r="C40" s="78" t="s">
        <v>602</v>
      </c>
      <c r="D40" s="78" t="s">
        <v>568</v>
      </c>
      <c r="E40" s="78">
        <v>1</v>
      </c>
    </row>
    <row r="41" spans="1:5">
      <c r="A41" s="76">
        <v>11</v>
      </c>
      <c r="B41" s="77" t="s">
        <v>585</v>
      </c>
      <c r="C41" s="78" t="s">
        <v>602</v>
      </c>
      <c r="D41" s="78" t="s">
        <v>568</v>
      </c>
      <c r="E41" s="78">
        <v>1</v>
      </c>
    </row>
    <row r="42" spans="1:5">
      <c r="A42" s="76">
        <v>12</v>
      </c>
      <c r="B42" s="77" t="s">
        <v>603</v>
      </c>
      <c r="C42" s="78" t="s">
        <v>602</v>
      </c>
      <c r="D42" s="78" t="s">
        <v>568</v>
      </c>
      <c r="E42" s="78">
        <v>1</v>
      </c>
    </row>
  </sheetData>
  <mergeCells count="6">
    <mergeCell ref="C5:C6"/>
    <mergeCell ref="C10:C11"/>
    <mergeCell ref="D5:D6"/>
    <mergeCell ref="D10:D11"/>
    <mergeCell ref="E5:E6"/>
    <mergeCell ref="E10:E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D42"/>
  <sheetViews>
    <sheetView topLeftCell="A23" workbookViewId="0">
      <selection activeCell="H5" sqref="H5"/>
    </sheetView>
  </sheetViews>
  <sheetFormatPr defaultColWidth="9" defaultRowHeight="14.4"/>
  <cols>
    <col min="2" max="2" width="25.1015625" customWidth="1"/>
  </cols>
  <sheetData>
    <row r="2" spans="1:4" ht="15" customHeight="1">
      <c r="A2" s="1722" t="s">
        <v>604</v>
      </c>
      <c r="B2" s="1723"/>
      <c r="C2" s="1723"/>
    </row>
    <row r="3" spans="1:4">
      <c r="A3" s="36" t="s">
        <v>605</v>
      </c>
      <c r="B3" s="37" t="s">
        <v>461</v>
      </c>
      <c r="C3" s="37" t="s">
        <v>606</v>
      </c>
    </row>
    <row r="4" spans="1:4">
      <c r="A4" s="38">
        <v>1</v>
      </c>
      <c r="B4" s="39" t="s">
        <v>607</v>
      </c>
      <c r="C4" s="40">
        <v>30</v>
      </c>
    </row>
    <row r="5" spans="1:4">
      <c r="A5" s="38">
        <v>2</v>
      </c>
      <c r="B5" s="39" t="s">
        <v>608</v>
      </c>
      <c r="C5" s="40">
        <v>4</v>
      </c>
    </row>
    <row r="6" spans="1:4">
      <c r="A6" s="38">
        <v>3</v>
      </c>
      <c r="B6" s="39" t="s">
        <v>609</v>
      </c>
      <c r="C6" s="40">
        <v>1</v>
      </c>
    </row>
    <row r="7" spans="1:4">
      <c r="A7" s="38">
        <v>4</v>
      </c>
      <c r="B7" s="39" t="s">
        <v>610</v>
      </c>
      <c r="C7" s="40">
        <v>16</v>
      </c>
    </row>
    <row r="8" spans="1:4">
      <c r="A8" s="38">
        <v>5</v>
      </c>
      <c r="B8" s="39" t="s">
        <v>466</v>
      </c>
      <c r="C8" s="40">
        <v>19</v>
      </c>
    </row>
    <row r="9" spans="1:4">
      <c r="A9" s="38">
        <v>6</v>
      </c>
      <c r="B9" s="39" t="s">
        <v>611</v>
      </c>
      <c r="C9" s="40">
        <v>1</v>
      </c>
    </row>
    <row r="10" spans="1:4">
      <c r="A10" s="41"/>
    </row>
    <row r="11" spans="1:4">
      <c r="A11" s="1722" t="s">
        <v>612</v>
      </c>
      <c r="B11" s="1723"/>
      <c r="C11" s="1723"/>
    </row>
    <row r="12" spans="1:4" ht="24.6">
      <c r="A12" s="36" t="s">
        <v>605</v>
      </c>
      <c r="B12" s="37" t="s">
        <v>461</v>
      </c>
      <c r="C12" s="37" t="s">
        <v>613</v>
      </c>
      <c r="D12" s="42" t="s">
        <v>614</v>
      </c>
    </row>
    <row r="13" spans="1:4">
      <c r="A13" s="38">
        <v>1</v>
      </c>
      <c r="B13" s="39" t="s">
        <v>607</v>
      </c>
      <c r="C13" s="40">
        <v>14</v>
      </c>
      <c r="D13" s="40">
        <v>16</v>
      </c>
    </row>
    <row r="14" spans="1:4">
      <c r="A14" s="38">
        <v>2</v>
      </c>
      <c r="B14" s="39" t="s">
        <v>608</v>
      </c>
      <c r="C14" s="40">
        <v>4</v>
      </c>
      <c r="D14" s="40">
        <v>4</v>
      </c>
    </row>
    <row r="15" spans="1:4">
      <c r="A15" s="38">
        <v>3</v>
      </c>
      <c r="B15" s="39" t="s">
        <v>609</v>
      </c>
      <c r="C15" s="40">
        <v>1</v>
      </c>
      <c r="D15" s="40">
        <v>0</v>
      </c>
    </row>
    <row r="16" spans="1:4">
      <c r="A16" s="38">
        <v>4</v>
      </c>
      <c r="B16" s="39" t="s">
        <v>610</v>
      </c>
      <c r="C16" s="40">
        <v>7</v>
      </c>
      <c r="D16" s="40">
        <v>8</v>
      </c>
    </row>
    <row r="17" spans="1:4">
      <c r="A17" s="38">
        <v>5</v>
      </c>
      <c r="B17" s="39" t="s">
        <v>466</v>
      </c>
      <c r="C17" s="40">
        <v>11</v>
      </c>
      <c r="D17" s="40">
        <v>12</v>
      </c>
    </row>
    <row r="18" spans="1:4">
      <c r="A18" s="38">
        <v>6</v>
      </c>
      <c r="B18" s="39" t="s">
        <v>611</v>
      </c>
      <c r="C18" s="40">
        <v>1</v>
      </c>
      <c r="D18" s="40">
        <v>0</v>
      </c>
    </row>
    <row r="19" spans="1:4">
      <c r="A19" s="41"/>
    </row>
    <row r="20" spans="1:4" ht="15" customHeight="1">
      <c r="A20" s="1722" t="s">
        <v>615</v>
      </c>
      <c r="B20" s="1723"/>
      <c r="C20" s="1723"/>
    </row>
    <row r="21" spans="1:4">
      <c r="A21" s="36" t="s">
        <v>605</v>
      </c>
      <c r="B21" s="37" t="s">
        <v>461</v>
      </c>
      <c r="C21" s="37" t="s">
        <v>606</v>
      </c>
    </row>
    <row r="22" spans="1:4">
      <c r="A22" s="38">
        <v>1</v>
      </c>
      <c r="B22" s="39" t="s">
        <v>607</v>
      </c>
      <c r="C22" s="40">
        <v>10</v>
      </c>
    </row>
    <row r="23" spans="1:4">
      <c r="A23" s="38">
        <v>2</v>
      </c>
      <c r="B23" s="39" t="s">
        <v>608</v>
      </c>
      <c r="C23" s="40">
        <v>2</v>
      </c>
    </row>
    <row r="24" spans="1:4">
      <c r="A24" s="38">
        <v>3</v>
      </c>
      <c r="B24" s="39" t="s">
        <v>609</v>
      </c>
      <c r="C24" s="40">
        <v>1</v>
      </c>
    </row>
    <row r="25" spans="1:4">
      <c r="A25" s="38">
        <v>4</v>
      </c>
      <c r="B25" s="39" t="s">
        <v>610</v>
      </c>
      <c r="C25" s="40">
        <v>5</v>
      </c>
    </row>
    <row r="26" spans="1:4">
      <c r="A26" s="38">
        <v>5</v>
      </c>
      <c r="B26" s="39" t="s">
        <v>466</v>
      </c>
      <c r="C26" s="40">
        <v>6</v>
      </c>
    </row>
    <row r="27" spans="1:4">
      <c r="A27" s="38">
        <v>6</v>
      </c>
      <c r="B27" s="39" t="s">
        <v>611</v>
      </c>
      <c r="C27" s="40">
        <v>1</v>
      </c>
    </row>
    <row r="28" spans="1:4">
      <c r="A28" s="41" t="s">
        <v>616</v>
      </c>
    </row>
    <row r="29" spans="1:4" ht="15" customHeight="1">
      <c r="A29" s="1722" t="s">
        <v>617</v>
      </c>
      <c r="B29" s="1723"/>
      <c r="C29" s="1723"/>
    </row>
    <row r="30" spans="1:4">
      <c r="A30" s="36" t="s">
        <v>605</v>
      </c>
      <c r="B30" s="37" t="s">
        <v>461</v>
      </c>
      <c r="C30" s="37" t="s">
        <v>606</v>
      </c>
    </row>
    <row r="31" spans="1:4">
      <c r="A31" s="38">
        <v>1</v>
      </c>
      <c r="B31" s="39" t="s">
        <v>607</v>
      </c>
      <c r="C31" s="40">
        <v>8</v>
      </c>
    </row>
    <row r="32" spans="1:4">
      <c r="A32" s="38">
        <v>2</v>
      </c>
      <c r="B32" s="39" t="s">
        <v>608</v>
      </c>
      <c r="C32" s="40">
        <v>2</v>
      </c>
    </row>
    <row r="33" spans="1:3">
      <c r="A33" s="38">
        <v>3</v>
      </c>
      <c r="B33" s="39" t="s">
        <v>609</v>
      </c>
      <c r="C33" s="40">
        <v>1</v>
      </c>
    </row>
    <row r="34" spans="1:3">
      <c r="A34" s="38">
        <v>4</v>
      </c>
      <c r="B34" s="39" t="s">
        <v>610</v>
      </c>
      <c r="C34" s="40">
        <v>4</v>
      </c>
    </row>
    <row r="35" spans="1:3">
      <c r="A35" s="38">
        <v>5</v>
      </c>
      <c r="B35" s="39" t="s">
        <v>466</v>
      </c>
      <c r="C35" s="40">
        <v>5</v>
      </c>
    </row>
    <row r="36" spans="1:3">
      <c r="A36" s="38">
        <v>6</v>
      </c>
      <c r="B36" s="39" t="s">
        <v>479</v>
      </c>
      <c r="C36" s="40">
        <v>4</v>
      </c>
    </row>
    <row r="37" spans="1:3">
      <c r="A37" s="38">
        <v>7</v>
      </c>
      <c r="B37" s="39" t="s">
        <v>618</v>
      </c>
      <c r="C37" s="40">
        <v>1</v>
      </c>
    </row>
    <row r="38" spans="1:3">
      <c r="A38" s="38">
        <v>8</v>
      </c>
      <c r="B38" s="39" t="s">
        <v>611</v>
      </c>
      <c r="C38" s="40">
        <v>1</v>
      </c>
    </row>
    <row r="40" spans="1:3">
      <c r="A40" s="43"/>
    </row>
    <row r="41" spans="1:3" ht="15">
      <c r="A41" s="44"/>
    </row>
    <row r="42" spans="1:3" ht="15">
      <c r="A42" s="45"/>
    </row>
  </sheetData>
  <mergeCells count="4">
    <mergeCell ref="A2:C2"/>
    <mergeCell ref="A11:C11"/>
    <mergeCell ref="A20:C20"/>
    <mergeCell ref="A29:C2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D3"/>
  <sheetViews>
    <sheetView workbookViewId="0">
      <selection activeCell="G3" sqref="G3"/>
    </sheetView>
  </sheetViews>
  <sheetFormatPr defaultColWidth="9" defaultRowHeight="14.4"/>
  <cols>
    <col min="2" max="2" width="23.68359375" customWidth="1"/>
    <col min="3" max="3" width="12.1015625" customWidth="1"/>
  </cols>
  <sheetData>
    <row r="2" spans="1:4">
      <c r="A2" s="28" t="s">
        <v>605</v>
      </c>
      <c r="B2" s="29" t="s">
        <v>461</v>
      </c>
      <c r="C2" s="30" t="s">
        <v>565</v>
      </c>
      <c r="D2" s="31" t="s">
        <v>566</v>
      </c>
    </row>
    <row r="3" spans="1:4" ht="41.4">
      <c r="A3" s="32">
        <v>1</v>
      </c>
      <c r="B3" s="33" t="s">
        <v>619</v>
      </c>
      <c r="C3" s="34" t="s">
        <v>568</v>
      </c>
      <c r="D3" s="35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C24"/>
  <sheetViews>
    <sheetView workbookViewId="0">
      <selection activeCell="I19" sqref="I19"/>
    </sheetView>
  </sheetViews>
  <sheetFormatPr defaultColWidth="9" defaultRowHeight="14.4"/>
  <cols>
    <col min="2" max="2" width="39.41796875" customWidth="1"/>
  </cols>
  <sheetData>
    <row r="2" spans="1:3">
      <c r="A2" s="6" t="s">
        <v>605</v>
      </c>
      <c r="B2" s="6" t="s">
        <v>461</v>
      </c>
      <c r="C2" s="6" t="s">
        <v>606</v>
      </c>
    </row>
    <row r="3" spans="1:3" ht="24">
      <c r="A3" s="2">
        <v>1</v>
      </c>
      <c r="B3" s="15" t="s">
        <v>620</v>
      </c>
      <c r="C3" s="16">
        <v>41</v>
      </c>
    </row>
    <row r="4" spans="1:3" ht="23.7">
      <c r="A4" s="2">
        <f>A3+1</f>
        <v>2</v>
      </c>
      <c r="B4" s="17" t="s">
        <v>621</v>
      </c>
      <c r="C4" s="18">
        <v>3</v>
      </c>
    </row>
    <row r="5" spans="1:3" ht="24.9">
      <c r="A5" s="2">
        <f t="shared" ref="A5:A24" si="0">A4+1</f>
        <v>3</v>
      </c>
      <c r="B5" s="19" t="s">
        <v>622</v>
      </c>
      <c r="C5" s="18">
        <v>10</v>
      </c>
    </row>
    <row r="6" spans="1:3">
      <c r="A6" s="2">
        <f t="shared" si="0"/>
        <v>4</v>
      </c>
      <c r="B6" s="20" t="s">
        <v>623</v>
      </c>
      <c r="C6" s="21">
        <v>2</v>
      </c>
    </row>
    <row r="7" spans="1:3">
      <c r="A7" s="2">
        <f t="shared" si="0"/>
        <v>5</v>
      </c>
      <c r="B7" s="20" t="s">
        <v>624</v>
      </c>
      <c r="C7" s="18">
        <v>4</v>
      </c>
    </row>
    <row r="8" spans="1:3" ht="23.7">
      <c r="A8" s="2">
        <f t="shared" si="0"/>
        <v>6</v>
      </c>
      <c r="B8" s="22" t="s">
        <v>625</v>
      </c>
      <c r="C8" s="18">
        <v>3</v>
      </c>
    </row>
    <row r="9" spans="1:3">
      <c r="A9" s="2">
        <f t="shared" si="0"/>
        <v>7</v>
      </c>
      <c r="B9" s="23" t="s">
        <v>626</v>
      </c>
      <c r="C9" s="18">
        <v>1</v>
      </c>
    </row>
    <row r="10" spans="1:3" ht="23.7">
      <c r="A10" s="2">
        <f t="shared" si="0"/>
        <v>8</v>
      </c>
      <c r="B10" s="22" t="s">
        <v>627</v>
      </c>
      <c r="C10" s="18">
        <v>10</v>
      </c>
    </row>
    <row r="11" spans="1:3">
      <c r="A11" s="2">
        <f t="shared" si="0"/>
        <v>9</v>
      </c>
      <c r="B11" s="20" t="s">
        <v>628</v>
      </c>
      <c r="C11" s="18">
        <v>30</v>
      </c>
    </row>
    <row r="12" spans="1:3" ht="25.5">
      <c r="A12" s="2">
        <f t="shared" si="0"/>
        <v>10</v>
      </c>
      <c r="B12" s="24" t="s">
        <v>629</v>
      </c>
      <c r="C12" s="18">
        <v>1</v>
      </c>
    </row>
    <row r="13" spans="1:3">
      <c r="A13" s="2">
        <f t="shared" si="0"/>
        <v>11</v>
      </c>
      <c r="B13" s="23" t="s">
        <v>630</v>
      </c>
      <c r="C13" s="18">
        <v>1</v>
      </c>
    </row>
    <row r="14" spans="1:3">
      <c r="A14" s="2">
        <f t="shared" si="0"/>
        <v>12</v>
      </c>
      <c r="B14" s="25" t="s">
        <v>631</v>
      </c>
      <c r="C14" s="18">
        <v>1</v>
      </c>
    </row>
    <row r="15" spans="1:3">
      <c r="A15" s="2">
        <f t="shared" si="0"/>
        <v>13</v>
      </c>
      <c r="B15" s="26" t="s">
        <v>632</v>
      </c>
      <c r="C15" s="18">
        <v>1</v>
      </c>
    </row>
    <row r="16" spans="1:3" ht="25.5">
      <c r="A16" s="2">
        <f t="shared" si="0"/>
        <v>14</v>
      </c>
      <c r="B16" s="24" t="s">
        <v>633</v>
      </c>
      <c r="C16" s="18">
        <v>12</v>
      </c>
    </row>
    <row r="17" spans="1:3">
      <c r="A17" s="2">
        <f t="shared" si="0"/>
        <v>15</v>
      </c>
      <c r="B17" s="27" t="s">
        <v>634</v>
      </c>
      <c r="C17" s="18">
        <f>30+14</f>
        <v>44</v>
      </c>
    </row>
    <row r="18" spans="1:3">
      <c r="A18" s="2">
        <f t="shared" si="0"/>
        <v>16</v>
      </c>
      <c r="B18" s="27" t="s">
        <v>635</v>
      </c>
      <c r="C18" s="18">
        <f>1+1</f>
        <v>2</v>
      </c>
    </row>
    <row r="19" spans="1:3">
      <c r="A19" s="2">
        <f t="shared" si="0"/>
        <v>17</v>
      </c>
      <c r="B19" s="27" t="s">
        <v>636</v>
      </c>
      <c r="C19" s="18">
        <v>12</v>
      </c>
    </row>
    <row r="20" spans="1:3" ht="35.1">
      <c r="A20" s="2">
        <f t="shared" si="0"/>
        <v>18</v>
      </c>
      <c r="B20" s="22" t="s">
        <v>637</v>
      </c>
      <c r="C20" s="18">
        <v>5</v>
      </c>
    </row>
    <row r="21" spans="1:3">
      <c r="A21" s="2">
        <f t="shared" si="0"/>
        <v>19</v>
      </c>
      <c r="B21" s="25" t="s">
        <v>638</v>
      </c>
      <c r="C21" s="18">
        <v>1</v>
      </c>
    </row>
    <row r="22" spans="1:3">
      <c r="A22" s="2">
        <f t="shared" si="0"/>
        <v>20</v>
      </c>
      <c r="B22" s="27" t="s">
        <v>639</v>
      </c>
      <c r="C22" s="18">
        <v>1</v>
      </c>
    </row>
    <row r="23" spans="1:3">
      <c r="A23" s="2">
        <f t="shared" si="0"/>
        <v>21</v>
      </c>
      <c r="B23" s="27" t="s">
        <v>640</v>
      </c>
      <c r="C23" s="18">
        <v>5</v>
      </c>
    </row>
    <row r="24" spans="1:3">
      <c r="A24" s="2">
        <f t="shared" si="0"/>
        <v>22</v>
      </c>
      <c r="B24" s="27" t="s">
        <v>641</v>
      </c>
      <c r="C24" s="18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E28"/>
  <sheetViews>
    <sheetView topLeftCell="A4" workbookViewId="0">
      <selection activeCell="K23" sqref="K23"/>
    </sheetView>
  </sheetViews>
  <sheetFormatPr defaultColWidth="9" defaultRowHeight="14.4"/>
  <cols>
    <col min="2" max="2" width="49.41796875" customWidth="1"/>
    <col min="3" max="3" width="15" customWidth="1"/>
    <col min="4" max="4" width="16.1015625" customWidth="1"/>
  </cols>
  <sheetData>
    <row r="2" spans="1:5" ht="31.2" customHeight="1">
      <c r="B2" s="8" t="s">
        <v>642</v>
      </c>
      <c r="C2" s="9" t="s">
        <v>643</v>
      </c>
    </row>
    <row r="3" spans="1:5">
      <c r="A3" s="1725" t="s">
        <v>644</v>
      </c>
      <c r="B3" s="1725" t="s">
        <v>471</v>
      </c>
      <c r="C3" s="1724" t="s">
        <v>645</v>
      </c>
      <c r="D3" s="1724"/>
      <c r="E3" s="3"/>
    </row>
    <row r="4" spans="1:5" s="7" customFormat="1">
      <c r="A4" s="1725"/>
      <c r="B4" s="1725"/>
      <c r="C4" s="10" t="s">
        <v>646</v>
      </c>
      <c r="D4" s="10" t="s">
        <v>647</v>
      </c>
      <c r="E4" s="10" t="s">
        <v>648</v>
      </c>
    </row>
    <row r="5" spans="1:5">
      <c r="A5" s="2">
        <v>1</v>
      </c>
      <c r="B5" s="3" t="s">
        <v>649</v>
      </c>
      <c r="C5" s="2"/>
      <c r="D5" s="2">
        <v>3</v>
      </c>
      <c r="E5" s="11">
        <v>1500</v>
      </c>
    </row>
    <row r="6" spans="1:5">
      <c r="A6" s="2">
        <v>2</v>
      </c>
      <c r="B6" s="3" t="s">
        <v>650</v>
      </c>
      <c r="C6" s="2"/>
      <c r="D6" s="2">
        <v>2</v>
      </c>
      <c r="E6" s="11">
        <v>2000</v>
      </c>
    </row>
    <row r="7" spans="1:5">
      <c r="A7" s="2">
        <v>3</v>
      </c>
      <c r="B7" s="3" t="s">
        <v>651</v>
      </c>
      <c r="C7" s="2"/>
      <c r="D7" s="2">
        <v>1</v>
      </c>
      <c r="E7" s="11">
        <v>1000</v>
      </c>
    </row>
    <row r="8" spans="1:5">
      <c r="A8" s="2">
        <v>4</v>
      </c>
      <c r="B8" s="3" t="s">
        <v>652</v>
      </c>
      <c r="C8" s="2">
        <v>2</v>
      </c>
      <c r="D8" s="2">
        <v>4</v>
      </c>
      <c r="E8" s="11">
        <f>2000+39374</f>
        <v>41374</v>
      </c>
    </row>
    <row r="9" spans="1:5">
      <c r="A9" s="3"/>
      <c r="B9" s="3"/>
      <c r="C9" s="3"/>
      <c r="D9" s="3"/>
      <c r="E9" s="11"/>
    </row>
    <row r="10" spans="1:5">
      <c r="A10" s="3"/>
      <c r="B10" s="3"/>
      <c r="C10" s="1724" t="s">
        <v>15</v>
      </c>
      <c r="D10" s="1724"/>
      <c r="E10" s="11">
        <f>SUM(E5:E9)</f>
        <v>45874</v>
      </c>
    </row>
    <row r="11" spans="1:5">
      <c r="E11" s="12"/>
    </row>
    <row r="12" spans="1:5">
      <c r="A12" s="10">
        <v>1</v>
      </c>
      <c r="B12" s="3" t="s">
        <v>653</v>
      </c>
      <c r="C12" s="3"/>
      <c r="D12" s="10">
        <v>1</v>
      </c>
      <c r="E12" s="11">
        <v>425</v>
      </c>
    </row>
    <row r="13" spans="1:5">
      <c r="A13" s="10">
        <v>2</v>
      </c>
      <c r="B13" s="3" t="s">
        <v>654</v>
      </c>
      <c r="C13" s="3"/>
      <c r="D13" s="10">
        <v>4</v>
      </c>
      <c r="E13" s="11">
        <v>1800</v>
      </c>
    </row>
    <row r="14" spans="1:5">
      <c r="A14" s="10">
        <v>3</v>
      </c>
      <c r="B14" s="3" t="s">
        <v>655</v>
      </c>
      <c r="C14" s="3"/>
      <c r="D14" s="10">
        <v>62</v>
      </c>
      <c r="E14" s="11">
        <v>3100</v>
      </c>
    </row>
    <row r="15" spans="1:5">
      <c r="A15" s="10">
        <v>4</v>
      </c>
      <c r="B15" s="3" t="s">
        <v>656</v>
      </c>
      <c r="C15" s="3"/>
      <c r="D15" s="10">
        <v>1</v>
      </c>
      <c r="E15" s="11">
        <v>425</v>
      </c>
    </row>
    <row r="16" spans="1:5">
      <c r="A16" s="10">
        <v>5</v>
      </c>
      <c r="B16" s="3" t="s">
        <v>657</v>
      </c>
      <c r="C16" s="3"/>
      <c r="D16" s="10"/>
      <c r="E16" s="11">
        <v>51944</v>
      </c>
    </row>
    <row r="17" spans="1:5">
      <c r="A17" s="3"/>
      <c r="B17" s="3"/>
      <c r="C17" s="3"/>
      <c r="D17" s="10"/>
      <c r="E17" s="11"/>
    </row>
    <row r="18" spans="1:5">
      <c r="A18" s="3"/>
      <c r="B18" s="3"/>
      <c r="C18" s="1724" t="s">
        <v>15</v>
      </c>
      <c r="D18" s="1724"/>
      <c r="E18" s="11">
        <f>SUM(E12:E17)</f>
        <v>57694</v>
      </c>
    </row>
    <row r="19" spans="1:5">
      <c r="D19" s="7"/>
      <c r="E19" s="12"/>
    </row>
    <row r="20" spans="1:5">
      <c r="D20" s="7"/>
      <c r="E20" s="12"/>
    </row>
    <row r="21" spans="1:5" ht="35.4" customHeight="1">
      <c r="B21" s="13" t="s">
        <v>658</v>
      </c>
      <c r="C21" s="9" t="s">
        <v>659</v>
      </c>
      <c r="D21" s="7"/>
      <c r="E21" s="12"/>
    </row>
    <row r="22" spans="1:5">
      <c r="A22" s="10">
        <v>1</v>
      </c>
      <c r="B22" s="14" t="s">
        <v>660</v>
      </c>
      <c r="C22" s="3"/>
      <c r="D22" s="10">
        <v>14</v>
      </c>
      <c r="E22" s="11">
        <v>35000</v>
      </c>
    </row>
    <row r="23" spans="1:5">
      <c r="A23" s="10">
        <v>2</v>
      </c>
      <c r="B23" s="14" t="s">
        <v>661</v>
      </c>
      <c r="C23" s="3"/>
      <c r="D23" s="10">
        <v>4</v>
      </c>
      <c r="E23" s="11">
        <v>10000</v>
      </c>
    </row>
    <row r="24" spans="1:5">
      <c r="A24" s="10">
        <v>3</v>
      </c>
      <c r="B24" s="14" t="s">
        <v>662</v>
      </c>
      <c r="C24" s="3"/>
      <c r="D24" s="10">
        <v>11</v>
      </c>
      <c r="E24" s="11">
        <v>3850</v>
      </c>
    </row>
    <row r="25" spans="1:5">
      <c r="A25" s="10">
        <v>4</v>
      </c>
      <c r="B25" s="14" t="s">
        <v>663</v>
      </c>
      <c r="C25" s="3"/>
      <c r="D25" s="10">
        <v>7</v>
      </c>
      <c r="E25" s="11">
        <v>3500</v>
      </c>
    </row>
    <row r="26" spans="1:5">
      <c r="A26" s="10">
        <v>5</v>
      </c>
      <c r="B26" s="14" t="s">
        <v>479</v>
      </c>
      <c r="C26" s="3"/>
      <c r="D26" s="10">
        <v>7</v>
      </c>
      <c r="E26" s="11">
        <v>3500</v>
      </c>
    </row>
    <row r="27" spans="1:5">
      <c r="A27" s="3"/>
      <c r="B27" s="3"/>
      <c r="C27" s="3"/>
      <c r="D27" s="3"/>
      <c r="E27" s="3"/>
    </row>
    <row r="28" spans="1:5">
      <c r="A28" s="3"/>
      <c r="B28" s="3"/>
      <c r="C28" s="1724" t="s">
        <v>15</v>
      </c>
      <c r="D28" s="1724"/>
      <c r="E28" s="11">
        <f>SUM(E22:E27)</f>
        <v>55850</v>
      </c>
    </row>
  </sheetData>
  <mergeCells count="6">
    <mergeCell ref="C3:D3"/>
    <mergeCell ref="C10:D10"/>
    <mergeCell ref="C18:D18"/>
    <mergeCell ref="C28:D28"/>
    <mergeCell ref="A3:A4"/>
    <mergeCell ref="B3:B4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7"/>
  <sheetViews>
    <sheetView workbookViewId="0">
      <selection activeCell="G9" sqref="G9"/>
    </sheetView>
  </sheetViews>
  <sheetFormatPr defaultColWidth="9" defaultRowHeight="14.4"/>
  <cols>
    <col min="2" max="2" width="47.68359375" customWidth="1"/>
  </cols>
  <sheetData>
    <row r="1" spans="1:3">
      <c r="A1" s="1726" t="s">
        <v>664</v>
      </c>
      <c r="B1" s="1726"/>
      <c r="C1" s="1726"/>
    </row>
    <row r="2" spans="1:3">
      <c r="A2" s="6" t="s">
        <v>605</v>
      </c>
      <c r="B2" s="6" t="s">
        <v>550</v>
      </c>
      <c r="C2" s="6" t="s">
        <v>606</v>
      </c>
    </row>
    <row r="3" spans="1:3">
      <c r="A3" s="2">
        <v>1</v>
      </c>
      <c r="B3" s="3" t="s">
        <v>665</v>
      </c>
      <c r="C3" s="2">
        <v>7</v>
      </c>
    </row>
    <row r="4" spans="1:3">
      <c r="A4" s="2">
        <f>A3+1</f>
        <v>2</v>
      </c>
      <c r="B4" s="3" t="s">
        <v>666</v>
      </c>
      <c r="C4" s="2">
        <v>4</v>
      </c>
    </row>
    <row r="5" spans="1:3">
      <c r="A5" s="2">
        <f t="shared" ref="A5:A17" si="0">A4+1</f>
        <v>3</v>
      </c>
      <c r="B5" s="3" t="s">
        <v>667</v>
      </c>
      <c r="C5" s="2">
        <v>4</v>
      </c>
    </row>
    <row r="6" spans="1:3">
      <c r="A6" s="2">
        <f t="shared" si="0"/>
        <v>4</v>
      </c>
      <c r="B6" s="3" t="s">
        <v>668</v>
      </c>
      <c r="C6" s="2">
        <v>4</v>
      </c>
    </row>
    <row r="7" spans="1:3">
      <c r="A7" s="2">
        <f t="shared" si="0"/>
        <v>5</v>
      </c>
      <c r="B7" s="3" t="s">
        <v>669</v>
      </c>
      <c r="C7" s="2">
        <v>1</v>
      </c>
    </row>
    <row r="8" spans="1:3">
      <c r="A8" s="2">
        <f t="shared" si="0"/>
        <v>6</v>
      </c>
      <c r="B8" s="3" t="s">
        <v>670</v>
      </c>
      <c r="C8" s="5">
        <v>1</v>
      </c>
    </row>
    <row r="9" spans="1:3">
      <c r="A9" s="2">
        <f t="shared" si="0"/>
        <v>7</v>
      </c>
      <c r="B9" s="3" t="s">
        <v>671</v>
      </c>
      <c r="C9" s="5">
        <v>2</v>
      </c>
    </row>
    <row r="10" spans="1:3">
      <c r="A10" s="2">
        <f t="shared" si="0"/>
        <v>8</v>
      </c>
      <c r="B10" s="3" t="s">
        <v>672</v>
      </c>
      <c r="C10" s="5">
        <v>4</v>
      </c>
    </row>
    <row r="11" spans="1:3">
      <c r="A11" s="2">
        <f t="shared" si="0"/>
        <v>9</v>
      </c>
      <c r="B11" s="3" t="s">
        <v>673</v>
      </c>
      <c r="C11" s="2">
        <v>1</v>
      </c>
    </row>
    <row r="12" spans="1:3">
      <c r="A12" s="2">
        <f t="shared" si="0"/>
        <v>10</v>
      </c>
      <c r="B12" s="3" t="s">
        <v>674</v>
      </c>
      <c r="C12" s="2">
        <v>2</v>
      </c>
    </row>
    <row r="13" spans="1:3">
      <c r="A13" s="2">
        <f t="shared" si="0"/>
        <v>11</v>
      </c>
      <c r="B13" s="3" t="s">
        <v>675</v>
      </c>
      <c r="C13" s="2">
        <f>1+1</f>
        <v>2</v>
      </c>
    </row>
    <row r="14" spans="1:3">
      <c r="A14" s="2">
        <f t="shared" si="0"/>
        <v>12</v>
      </c>
      <c r="B14" s="3" t="s">
        <v>676</v>
      </c>
      <c r="C14" s="2">
        <f>2+4</f>
        <v>6</v>
      </c>
    </row>
    <row r="15" spans="1:3">
      <c r="A15" s="2">
        <f t="shared" si="0"/>
        <v>13</v>
      </c>
      <c r="B15" s="3" t="s">
        <v>677</v>
      </c>
      <c r="C15" s="2">
        <v>4</v>
      </c>
    </row>
    <row r="16" spans="1:3">
      <c r="A16" s="2">
        <f t="shared" si="0"/>
        <v>14</v>
      </c>
      <c r="B16" s="3" t="s">
        <v>678</v>
      </c>
      <c r="C16" s="2">
        <v>1</v>
      </c>
    </row>
    <row r="17" spans="1:3">
      <c r="A17" s="2">
        <f t="shared" si="0"/>
        <v>15</v>
      </c>
      <c r="B17" s="3" t="s">
        <v>679</v>
      </c>
      <c r="C17" s="2">
        <v>2</v>
      </c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C9"/>
  <sheetViews>
    <sheetView workbookViewId="0">
      <selection activeCell="H5" sqref="H5"/>
    </sheetView>
  </sheetViews>
  <sheetFormatPr defaultColWidth="9" defaultRowHeight="14.4"/>
  <cols>
    <col min="2" max="2" width="40.1015625" customWidth="1"/>
  </cols>
  <sheetData>
    <row r="2" spans="1:3">
      <c r="A2" s="1" t="s">
        <v>605</v>
      </c>
      <c r="B2" s="1" t="s">
        <v>680</v>
      </c>
      <c r="C2" s="1" t="s">
        <v>566</v>
      </c>
    </row>
    <row r="3" spans="1:3">
      <c r="A3" s="2">
        <v>1</v>
      </c>
      <c r="B3" s="3" t="s">
        <v>669</v>
      </c>
      <c r="C3" s="2">
        <v>1</v>
      </c>
    </row>
    <row r="4" spans="1:3" ht="28.8">
      <c r="A4" s="2">
        <v>2</v>
      </c>
      <c r="B4" s="4" t="s">
        <v>681</v>
      </c>
      <c r="C4" s="5">
        <v>0</v>
      </c>
    </row>
    <row r="5" spans="1:3">
      <c r="A5" s="2">
        <v>3</v>
      </c>
      <c r="B5" s="4" t="s">
        <v>682</v>
      </c>
      <c r="C5" s="5">
        <v>0</v>
      </c>
    </row>
    <row r="6" spans="1:3">
      <c r="A6" s="2">
        <v>4</v>
      </c>
      <c r="B6" s="3" t="s">
        <v>683</v>
      </c>
      <c r="C6" s="2">
        <v>1</v>
      </c>
    </row>
    <row r="7" spans="1:3">
      <c r="A7" s="2">
        <v>5</v>
      </c>
      <c r="B7" s="3" t="s">
        <v>684</v>
      </c>
      <c r="C7" s="2">
        <v>2</v>
      </c>
    </row>
    <row r="8" spans="1:3">
      <c r="A8" s="2">
        <v>6</v>
      </c>
      <c r="B8" s="3" t="s">
        <v>685</v>
      </c>
      <c r="C8" s="5">
        <v>1</v>
      </c>
    </row>
    <row r="9" spans="1:3">
      <c r="A9" s="2">
        <v>7</v>
      </c>
      <c r="B9" s="3" t="s">
        <v>686</v>
      </c>
      <c r="C9" s="2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B498-8088-428B-A848-2221559CB898}">
  <dimension ref="C3:O7"/>
  <sheetViews>
    <sheetView topLeftCell="C1" workbookViewId="0">
      <selection activeCell="C3" sqref="C3:N7"/>
    </sheetView>
  </sheetViews>
  <sheetFormatPr defaultRowHeight="14.4"/>
  <cols>
    <col min="4" max="4" width="52.5234375" customWidth="1"/>
    <col min="5" max="5" width="4.41796875" bestFit="1" customWidth="1"/>
    <col min="6" max="6" width="4.41796875" customWidth="1"/>
    <col min="9" max="9" width="10.1015625" bestFit="1" customWidth="1"/>
    <col min="12" max="13" width="8.1015625" bestFit="1" customWidth="1"/>
    <col min="14" max="14" width="10.1015625" bestFit="1" customWidth="1"/>
  </cols>
  <sheetData>
    <row r="3" spans="3:15">
      <c r="C3" s="1043" t="s">
        <v>0</v>
      </c>
      <c r="D3" s="1043" t="s">
        <v>762</v>
      </c>
      <c r="E3" s="1043" t="s">
        <v>766</v>
      </c>
      <c r="F3" s="1043" t="s">
        <v>566</v>
      </c>
      <c r="G3" s="1043" t="s">
        <v>13</v>
      </c>
      <c r="H3" s="1043" t="s">
        <v>767</v>
      </c>
      <c r="I3" s="1043" t="s">
        <v>768</v>
      </c>
      <c r="J3" s="1043" t="s">
        <v>769</v>
      </c>
      <c r="K3" s="1043" t="s">
        <v>773</v>
      </c>
      <c r="L3" s="1043" t="s">
        <v>770</v>
      </c>
      <c r="M3" s="1043" t="s">
        <v>771</v>
      </c>
      <c r="N3" s="1043" t="s">
        <v>772</v>
      </c>
      <c r="O3" s="1043"/>
    </row>
    <row r="4" spans="3:15">
      <c r="C4" s="2">
        <v>1</v>
      </c>
      <c r="D4" s="1041" t="s">
        <v>763</v>
      </c>
      <c r="E4" s="1041"/>
      <c r="F4" s="1041">
        <v>1</v>
      </c>
      <c r="G4" s="3">
        <v>916155</v>
      </c>
      <c r="H4" s="3">
        <f>F4*G4</f>
        <v>916155</v>
      </c>
      <c r="I4" s="3"/>
      <c r="J4" s="3"/>
      <c r="K4" s="1042">
        <f>G4/2</f>
        <v>458077.5</v>
      </c>
      <c r="L4" s="3"/>
      <c r="M4" s="3"/>
      <c r="N4" s="3">
        <f>K4</f>
        <v>458077.5</v>
      </c>
      <c r="O4" s="3"/>
    </row>
    <row r="5" spans="3:15">
      <c r="C5" s="2">
        <v>2</v>
      </c>
      <c r="D5" s="1041" t="s">
        <v>764</v>
      </c>
      <c r="E5" s="1041"/>
      <c r="F5" s="1041">
        <v>1</v>
      </c>
      <c r="G5" s="3">
        <v>537664</v>
      </c>
      <c r="H5" s="3">
        <f t="shared" ref="H5:H6" si="0">F5*G5</f>
        <v>537664</v>
      </c>
      <c r="I5" s="3"/>
      <c r="J5" s="3"/>
      <c r="K5" s="1042">
        <f>G5/2</f>
        <v>268832</v>
      </c>
      <c r="L5" s="3"/>
      <c r="M5" s="3"/>
      <c r="N5" s="3">
        <f>K5</f>
        <v>268832</v>
      </c>
      <c r="O5" s="3"/>
    </row>
    <row r="6" spans="3:15">
      <c r="C6" s="2">
        <v>3</v>
      </c>
      <c r="D6" s="1041" t="s">
        <v>765</v>
      </c>
      <c r="E6" s="1041"/>
      <c r="F6" s="1041">
        <v>4</v>
      </c>
      <c r="G6" s="3">
        <v>415230</v>
      </c>
      <c r="H6" s="3">
        <f t="shared" si="0"/>
        <v>1660920</v>
      </c>
      <c r="I6" s="1044">
        <f>G6</f>
        <v>415230</v>
      </c>
      <c r="J6" s="1044">
        <f>G6</f>
        <v>415230</v>
      </c>
      <c r="K6" s="1042"/>
      <c r="L6" s="1044">
        <f>G6</f>
        <v>415230</v>
      </c>
      <c r="M6" s="3">
        <f>G6</f>
        <v>415230</v>
      </c>
      <c r="N6" s="3"/>
      <c r="O6" s="3"/>
    </row>
    <row r="7" spans="3:15">
      <c r="C7" s="3"/>
      <c r="D7" s="3"/>
      <c r="E7" s="3"/>
      <c r="F7" s="3"/>
      <c r="G7" s="3"/>
      <c r="H7" s="3">
        <f>SUM(H4:H6)</f>
        <v>3114739</v>
      </c>
      <c r="I7" s="1044">
        <f t="shared" ref="I7:O7" si="1">SUM(I4:I6)</f>
        <v>415230</v>
      </c>
      <c r="J7" s="1044">
        <f t="shared" si="1"/>
        <v>415230</v>
      </c>
      <c r="K7" s="1042">
        <f t="shared" si="1"/>
        <v>726909.5</v>
      </c>
      <c r="L7" s="1044">
        <f t="shared" si="1"/>
        <v>415230</v>
      </c>
      <c r="M7" s="3">
        <f t="shared" si="1"/>
        <v>415230</v>
      </c>
      <c r="N7" s="3">
        <f t="shared" si="1"/>
        <v>726909.5</v>
      </c>
      <c r="O7" s="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AMC 2026-2027</vt:lpstr>
      <vt:lpstr>AMC 2025-2026 (2)</vt:lpstr>
      <vt:lpstr>AMC 2024-2025 </vt:lpstr>
      <vt:lpstr>GADSEC</vt:lpstr>
      <vt:lpstr>Ashok Leyland</vt:lpstr>
      <vt:lpstr>DD Vaishanv College</vt:lpstr>
      <vt:lpstr>Dailmer</vt:lpstr>
      <vt:lpstr>Royal Enfield</vt:lpstr>
      <vt:lpstr>KONE Elevator India P.Ltd</vt:lpstr>
      <vt:lpstr>Enerji System Pvt Ltd</vt:lpstr>
      <vt:lpstr>Padmapriya Hospital</vt:lpstr>
      <vt:lpstr>Vlead Design</vt:lpstr>
      <vt:lpstr>Dailmer(CAMC)</vt:lpstr>
      <vt:lpstr>TAGROS ACMC</vt:lpstr>
      <vt:lpstr>JOVE</vt:lpstr>
      <vt:lpstr>Jawahar</vt:lpstr>
      <vt:lpstr>GH INDUCTION</vt:lpstr>
      <vt:lpstr>Global Healthcare</vt:lpstr>
      <vt:lpstr>Hanon</vt:lpstr>
      <vt:lpstr>Vikram Solar</vt:lpstr>
      <vt:lpstr>GLOBAL 1007 &amp; 0911</vt:lpstr>
      <vt:lpstr>Tagros Dahej</vt:lpstr>
      <vt:lpstr>Tagros Panoli</vt:lpstr>
      <vt:lpstr>KEL_HEP 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rajagopalan</dc:creator>
  <cp:keywords/>
  <dc:description/>
  <cp:lastModifiedBy>Rajeshkumar</cp:lastModifiedBy>
  <cp:revision/>
  <dcterms:created xsi:type="dcterms:W3CDTF">2024-07-02T06:18:00Z</dcterms:created>
  <dcterms:modified xsi:type="dcterms:W3CDTF">2026-05-19T10:37:41Z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EBE90F7AC5CF4B6D8D78639C3D622DFA_12</vt:lpwstr>
  </property>
  <property fmtid="{D5CDD505-2E9C-101B-9397-08002B2CF9AE}" pid="3" name="KSOProductBuildVer">
    <vt:lpwstr>1033-12.2.0.21931</vt:lpwstr>
  </property>
</Properties>
</file>